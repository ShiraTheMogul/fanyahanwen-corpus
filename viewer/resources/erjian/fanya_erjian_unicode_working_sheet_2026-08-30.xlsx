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93332cb2e90496a" /></Relationships>
</file>

<file path=xl/workbook.xml><?xml version="1.0" encoding="utf-8"?>
<x:workbook xmlns:x="http://schemas.openxmlformats.org/spreadsheetml/2006/main">
  <x:sheets>
    <x:sheet xmlns:r="http://schemas.openxmlformats.org/officeDocument/2006/relationships" name="README" sheetId="1" r:id="R89559aacf96647cf"/>
    <x:sheet xmlns:r="http://schemas.openxmlformats.org/officeDocument/2006/relationships" name="Summary" sheetId="2" r:id="R31d873b4e0654d63"/>
    <x:sheet xmlns:r="http://schemas.openxmlformats.org/officeDocument/2006/relationships" name="Repertoire_2022" sheetId="3" r:id="Rc2993ee5a76a4aaf"/>
    <x:sheet xmlns:r="http://schemas.openxmlformats.org/officeDocument/2006/relationships" name="GEJ_2026_sample" sheetId="4" r:id="Re33c1083d61248e9"/>
    <x:sheet xmlns:r="http://schemas.openxmlformats.org/officeDocument/2006/relationships" name="Unicode_Ranges" sheetId="5" r:id="Rea1bf827d7684d2a"/>
    <x:sheet xmlns:r="http://schemas.openxmlformats.org/officeDocument/2006/relationships" name="Known_2026_updates" sheetId="6" r:id="Raa6d296cfceb4e72"/>
    <x:sheet xmlns:r="http://schemas.openxmlformats.org/officeDocument/2006/relationships" name="Sources" sheetId="7" r:id="R09bbb7f625664bea"/>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i/>
      <x:sz val="11"/>
      <x:color rgb="FF475569"/>
      <x:name val="Carlito"/>
    </x:font>
    <x:font>
      <x:b/>
      <x:sz val="11"/>
      <x:color rgb="FF0F172A"/>
      <x:name val="Carlito"/>
    </x:font>
    <x:font>
      <x:b/>
      <x:sz val="11"/>
      <x:color rgb="FFFFFFFF"/>
      <x:name val="Carlito"/>
    </x:font>
  </x:fonts>
  <x:fills count="5">
    <x:fill>
      <x:patternFill patternType="none"/>
    </x:fill>
    <x:fill>
      <x:patternFill patternType="gray125"/>
    </x:fill>
    <x:fill>
      <x:patternFill patternType="solid">
        <x:fgColor rgb="FF1E3A5F"/>
      </x:patternFill>
    </x:fill>
    <x:fill>
      <x:patternFill patternType="solid">
        <x:fgColor rgb="FFE2E8F0"/>
      </x:patternFill>
    </x:fill>
    <x:fill>
      <x:patternFill patternType="solid">
        <x:fgColor rgb="FF334155"/>
      </x:patternFill>
    </x:fill>
  </x:fills>
  <x:borders count="2">
    <x:border/>
    <x:border/>
  </x:borders>
  <x:cellStyleXfs count="1">
    <x:xf numFmtId="0" fontId="0" fillId="0" borderId="0"/>
  </x:cellStyleXfs>
  <x:cellXfs count="3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1" xfId="0" applyNumberFormat="1" applyFont="1" applyFill="1" applyBorder="1"/>
    <x:xf numFmtId="0" fontId="2" fillId="0" borderId="1" xfId="0" applyNumberFormat="1" applyFont="1" applyFill="1" applyBorder="1" applyAlignment="1">
      <x:alignment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vertical="center" wrapText="1"/>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center"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1" fillId="2" borderId="1" xfId="0" applyNumberFormat="1" applyFont="1" applyFill="1" applyBorder="1" applyAlignment="1">
      <x:alignment vertical="center" wrapText="1"/>
    </x:xf>
  </x:cellXfs>
  <x:cellStyles count="1">
    <x:cellStyle name="Normal" xfId="0"/>
  </x:cellStyles>
  <x:dxfs count="4">
    <x:dxf>
      <x:font>
        <x:b/>
        <x:color rgb="FF991B1B"/>
      </x:font>
      <x:fill>
        <x:patternFill patternType="solid">
          <x:bgColor rgb="FFFECACA"/>
        </x:patternFill>
      </x:fill>
    </x:dxf>
    <x:dxf>
      <x:font>
        <x:color rgb="FF92400E"/>
      </x:font>
      <x:fill>
        <x:patternFill patternType="solid">
          <x:bgColor rgb="FFFEF3C7"/>
        </x:patternFill>
      </x:fill>
    </x:dxf>
    <x:dxf>
      <x:font>
        <x:color rgb="FF166534"/>
      </x:font>
      <x:fill>
        <x:patternFill patternType="solid">
          <x:bgColor rgb="FFDCFCE7"/>
        </x:patternFill>
      </x:fill>
    </x:dxf>
    <x:dxf>
      <x:font>
        <x:i/>
        <x:color rgb="FF475569"/>
      </x:font>
      <x:fill>
        <x:patternFill patternType="solid">
          <x:bgColor rgb="FFF1F5F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4da4769447145ff" /><Relationship Type="http://schemas.openxmlformats.org/officeDocument/2006/relationships/theme" Target="/xl/theme/theme1.xml" Id="R5117410603024c59" /><Relationship Type="http://schemas.openxmlformats.org/officeDocument/2006/relationships/sharedStrings" Target="/xl/sharedStrings.xml" Id="R807e10fc7064471a" /><Relationship Type="http://schemas.openxmlformats.org/officeDocument/2006/relationships/worksheet" Target="/xl/worksheets/sheet1.xml" Id="R89559aacf96647cf" /><Relationship Type="http://schemas.openxmlformats.org/officeDocument/2006/relationships/worksheet" Target="/xl/worksheets/sheet2.xml" Id="R31d873b4e0654d63" /><Relationship Type="http://schemas.openxmlformats.org/officeDocument/2006/relationships/worksheet" Target="/xl/worksheets/sheet3.xml" Id="Rc2993ee5a76a4aaf" /><Relationship Type="http://schemas.openxmlformats.org/officeDocument/2006/relationships/worksheet" Target="/xl/worksheets/sheet4.xml" Id="Re33c1083d61248e9" /><Relationship Type="http://schemas.openxmlformats.org/officeDocument/2006/relationships/worksheet" Target="/xl/worksheets/sheet5.xml" Id="Rea1bf827d7684d2a" /><Relationship Type="http://schemas.openxmlformats.org/officeDocument/2006/relationships/worksheet" Target="/xl/worksheets/sheet6.xml" Id="Raa6d296cfceb4e72" /><Relationship Type="http://schemas.openxmlformats.org/officeDocument/2006/relationships/worksheet" Target="/xl/worksheets/sheet7.xml" Id="R09bbb7f625664bea" /></Relationships>
</file>

<file path=xl/tables/table1.xml><?xml version="1.0" encoding="utf-8"?>
<x:table xmlns:x="http://schemas.openxmlformats.org/spreadsheetml/2006/main" id="1" name="RepertoireTable" displayName="RepertoireTable" ref="A1:R542" headerRowCount="1" totalsRowCount="0" totalsRowShown="0">
  <x:tableColumns count="18">
    <x:tableColumn id="1" name="Ref"/>
    <x:tableColumn id="2" name="PDF page"/>
    <x:tableColumn id="3" name="Part"/>
    <x:tableColumn id="4" name="Table"/>
    <x:tableColumn id="5" name="Category"/>
    <x:tableColumn id="6" name="2022 new Unicode / IDS field"/>
    <x:tableColumn id="7" name="2022 rendered glyph"/>
    <x:tableColumn id="8" name="Simplified from / standard form"/>
    <x:tableColumn id="9" name="Reading"/>
    <x:tableColumn id="10" name="Standard Unicode field"/>
    <x:tableColumn id="11" name="Comments"/>
    <x:tableColumn id="12" name="Parsed code point"/>
    <x:tableColumn id="13" name="Current Unicode block"/>
    <x:tableColumn id="14" name="2026 working status"/>
    <x:tableColumn id="15" name="Review priority"/>
    <x:tableColumn id="16" name="Extraction status"/>
    <x:tableColumn id="17" name="Raw extracted row"/>
    <x:tableColumn id="18" name="Source"/>
  </x:tableColumns>
  <x:tableStyleInfo name="TableStyleMedium2" showFirstColumn="0" showLastColumn="0" showRowStripes="1" showColumnStripes="0"/>
</x:table>
</file>

<file path=xl/tables/table2.xml><?xml version="1.0" encoding="utf-8"?>
<x:table xmlns:x="http://schemas.openxmlformats.org/spreadsheetml/2006/main" id="2" name="GEJSampleTable" displayName="GEJSampleTable" ref="A1:J47" headerRowCount="1" totalsRowCount="0" totalsRowShown="0">
  <x:tableColumns count="10">
    <x:tableColumn id="1" name="Row"/>
    <x:tableColumn id="2" name="IRG serial as printed"/>
    <x:tableColumn id="3" name="Glyph"/>
    <x:tableColumn id="4" name="IDS"/>
    <x:tableColumn id="5" name="Radical"/>
    <x:tableColumn id="6" name="SC"/>
    <x:tableColumn id="7" name="Source witness"/>
    <x:tableColumn id="8" name="Possible matching 2022 refs (IDS-only heuristic)"/>
    <x:tableColumn id="9" name="Proposal note"/>
    <x:tableColumn id="10" name="Source URL"/>
  </x:tableColumns>
  <x:tableStyleInfo name="TableStyleMedium2" showFirstColumn="0" showLastColumn="0" showRowStripes="1" showColumnStripes="0"/>
</x:table>
</file>

<file path=xl/tables/table3.xml><?xml version="1.0" encoding="utf-8"?>
<x:table xmlns:x="http://schemas.openxmlformats.org/spreadsheetml/2006/main" id="3" name="UnicodeRangeTable" displayName="UnicodeRangeTable" ref="A1:F14" headerRowCount="1" totalsRowCount="0" totalsRowShown="0">
  <x:tableColumns count="6">
    <x:tableColumn id="1" name="Block"/>
    <x:tableColumn id="2" name="Formal block range"/>
    <x:tableColumn id="3" name="Current assigned end / note"/>
    <x:tableColumn id="4" name="Status on 2026-08-30"/>
    <x:tableColumn id="5" name="Why it matters here"/>
    <x:tableColumn id="6" name="Source URL"/>
  </x:tableColumns>
  <x:tableStyleInfo name="TableStyleMedium2" showFirstColumn="0" showLastColumn="0" showRowStripes="1" showColumnStripes="0"/>
</x:table>
</file>

<file path=xl/tables/table4.xml><?xml version="1.0" encoding="utf-8"?>
<x:table xmlns:x="http://schemas.openxmlformats.org/spreadsheetml/2006/main" id="4" name="KnownUpdatesTable" displayName="KnownUpdatesTable" ref="A1:G5" headerRowCount="1" totalsRowCount="0" totalsRowShown="0">
  <x:tableColumns count="7">
    <x:tableColumn id="1" name="Item"/>
    <x:tableColumn id="2" name="Current form / code"/>
    <x:tableColumn id="3" name="Standard form"/>
    <x:tableColumn id="4" name="Current block"/>
    <x:tableColumn id="5" name="Unicode since / status"/>
    <x:tableColumn id="6" name="Evidence"/>
    <x:tableColumn id="7" name="Action for corpus"/>
  </x:tableColumns>
  <x:tableStyleInfo name="TableStyleMedium2" showFirstColumn="0" showLastColumn="0" showRowStripes="1" showColumnStripes="0"/>
</x:table>
</file>

<file path=xl/tables/table5.xml><?xml version="1.0" encoding="utf-8"?>
<x:table xmlns:x="http://schemas.openxmlformats.org/spreadsheetml/2006/main" id="5" name="SourcesTable" displayName="SourcesTable" ref="A1:E8" headerRowCount="1" totalsRowCount="0" totalsRowShown="0">
  <x:tableColumns count="5">
    <x:tableColumn id="1" name="Contributor / corporate author"/>
    <x:tableColumn id="2" name="Date"/>
    <x:tableColumn id="3" name="Work"/>
    <x:tableColumn id="4" name="Role in this workbook"/>
    <x:tableColumn id="5" name="URL / local sour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c3865208982041f7" /></Relationships>
</file>

<file path=xl/worksheets/_rels/sheet4.xml.rels>&#65279;<?xml version="1.0" encoding="utf-8"?><Relationships xmlns="http://schemas.openxmlformats.org/package/2006/relationships"><Relationship Type="http://schemas.openxmlformats.org/officeDocument/2006/relationships/table" Target="/xl/tables/table2.xml" Id="R63b474b82d984d85" /></Relationships>
</file>

<file path=xl/worksheets/_rels/sheet5.xml.rels>&#65279;<?xml version="1.0" encoding="utf-8"?><Relationships xmlns="http://schemas.openxmlformats.org/package/2006/relationships"><Relationship Type="http://schemas.openxmlformats.org/officeDocument/2006/relationships/table" Target="/xl/tables/table3.xml" Id="R39fc389579e64bd9" /></Relationships>
</file>

<file path=xl/worksheets/_rels/sheet6.xml.rels>&#65279;<?xml version="1.0" encoding="utf-8"?><Relationships xmlns="http://schemas.openxmlformats.org/package/2006/relationships"><Relationship Type="http://schemas.openxmlformats.org/officeDocument/2006/relationships/table" Target="/xl/tables/table4.xml" Id="R05aea32d69a34084" /></Relationships>
</file>

<file path=xl/worksheets/_rels/sheet7.xml.rels>&#65279;<?xml version="1.0" encoding="utf-8"?><Relationships xmlns="http://schemas.openxmlformats.org/package/2006/relationships"><Relationship Type="http://schemas.openxmlformats.org/officeDocument/2006/relationships/table" Target="/xl/tables/table5.xml" Id="R5233a1904c584dd9" /></Relationships>
</file>

<file path=xl/worksheets/sheet1.xml><?xml version="1.0" encoding="utf-8"?>
<x:worksheet xmlns:x="http://schemas.openxmlformats.org/spreadsheetml/2006/main">
  <x:sheetFormatPr defaultRowHeight="15"/>
  <x:cols>
    <x:col min="1" max="1" width="28" hidden="0" customWidth="1"/>
    <x:col min="2" max="2" width="85"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s>
  <x:sheetData>
    <x:row r="1">
      <x:c r="A1" s="4" t="str">
        <x:v>PRC Second-Round Simplification (二简字) — Working Unicode Sheet</x:v>
      </x:c>
      <x:c r="B1" s="4"/>
      <x:c r="C1" s="4"/>
      <x:c r="D1" s="4"/>
      <x:c r="E1" s="4"/>
      <x:c r="F1" s="4"/>
      <x:c r="G1" s="4"/>
      <x:c r="H1" s="4"/>
    </x:row>
    <x:row r="2">
      <x:c r="A2" s="9" t="str">
        <x:v>Working snapshot prepared 2026-08-30. Designed as a research/control sheet, not yet a final conversion table.</x:v>
      </x:c>
      <x:c r="B2" s="9"/>
      <x:c r="C2" s="9"/>
      <x:c r="D2" s="9"/>
      <x:c r="E2" s="9"/>
      <x:c r="F2" s="9"/>
      <x:c r="G2" s="9"/>
      <x:c r="H2" s="9"/>
    </x:row>
    <x:row r="4">
      <x:c r="A4" s="15" t="str">
        <x:v>What this workbook contains</x:v>
      </x:c>
      <x:c r="B4" s="20" t="str">
        <x:v>A structured extraction of the 2022 Zapryagaev status chart; current Unicode 17 block ranges; the visible sample from IRG N2921 (2026); and known post-2022 updates.</x:v>
      </x:c>
    </x:row>
    <x:row r="5">
      <x:c r="A5" s="15" t="str">
        <x:v>Why the 2022 rows are retained</x:v>
      </x:c>
      <x:c r="B5" s="20" t="str">
        <x:v>They preserve glyph/IDS, readings, source-side Unicode fields, and table numbering from the uploaded technical chart. Encoding status is explicitly separated from the 2022 source so it can be updated without rewriting historical evidence.</x:v>
      </x:c>
    </x:row>
    <x:row r="6">
      <x:c r="A6" s="15" t="str">
        <x:v>Important limitation</x:v>
      </x:c>
      <x:c r="B6" s="20" t="str">
        <x:v>The uploaded PDF contains complex multi-row/component tables. 515 references were structurally parsed; 26 further references detected in the PDF text are retained as placeholders for manual inspection, giving 541 working reference rows.</x:v>
      </x:c>
    </x:row>
    <x:row r="7">
      <x:c r="A7" s="15" t="str">
        <x:v>Current Unicode baseline</x:v>
      </x:c>
      <x:c r="B7" s="20" t="str">
        <x:v>Unicode 17.0.0. Extension J is current. Extension G is included because many 二简 forms landed there. Unicode 18 / Seal Script is draft and is listed separately as future context.</x:v>
      </x:c>
    </x:row>
    <x:row r="8">
      <x:c r="A8" s="15" t="str">
        <x:v>IRG 2026</x:v>
      </x:c>
      <x:c r="B8" s="20" t="str">
        <x:v>Witty Wen 文辰䶮 and Tao Yang 陶扬 report approximately 200 distinct EJ ideographs still unencoded in the current UCS repertoire and plan a complete G-source submission. The N2921 sheet here contains only the 46 sample rows visible in that preliminary paper.</x:v>
      </x:c>
    </x:row>
    <x:row r="9">
      <x:c r="A9" s="15" t="str">
        <x:v>Canonical storage rule</x:v>
      </x:c>
      <x:c r="B9" s="20" t="str">
        <x:v>Do not use BabelStone PUA assignments as corpus characters. Prefer real Unicode scalars; otherwise preserve IDS + source witness + proposal identifier until encoding/unification is settled.</x:v>
      </x:c>
    </x:row>
    <x:row r="10">
      <x:c r="A10" s="15" t="str">
        <x:v>Current-source warning</x:v>
      </x:c>
      <x:c r="B10" s="20" t="str">
        <x:v>BabelStone's current page has a useful Unicode mapping table, but its separate 'Unencoded Characters' table is labelled as of Unicode 14.0. Treat that legacy table as historical until reconciled against Unicode 17 and the 2026 GEJ work.</x:v>
      </x:c>
    </x:row>
    <x:row r="12">
      <x:c r="A12" s="15" t="str">
        <x:v>Recommended next step</x:v>
      </x:c>
      <x:c r="B12" s="15"/>
      <x:c r="C12" s="15"/>
      <x:c r="D12" s="15"/>
      <x:c r="E12" s="15"/>
      <x:c r="F12" s="15"/>
      <x:c r="G12" s="15"/>
      <x:c r="H12" s="15"/>
    </x:row>
    <x:row r="13">
      <x:c r="A13" s="20" t="str">
        <x:v>Use Repertoire_2022 as the broad source inventory. Work High-priority rows first, reconcile them against Unicode 17 / BabelStone current mappings / N2921, and move resolved identities into a future canonical mapping sheet. Keep 1975, 1977-PUB, 1977-JZB, and 1981-REV witnesses distinct whenever N2921 treats their glyphs separately.</x:v>
      </x:c>
      <x:c r="B13" s="20"/>
      <x:c r="C13" s="20"/>
      <x:c r="D13" s="20"/>
      <x:c r="E13" s="20"/>
      <x:c r="F13" s="20"/>
      <x:c r="G13" s="20"/>
      <x:c r="H13" s="20"/>
    </x:row>
    <x:row r="14">
      <x:c r="A14" s="20"/>
      <x:c r="B14" s="20"/>
      <x:c r="C14" s="20"/>
      <x:c r="D14" s="20"/>
      <x:c r="E14" s="20"/>
      <x:c r="F14" s="20"/>
      <x:c r="G14" s="20"/>
      <x:c r="H14" s="20"/>
    </x:row>
    <x:row r="15">
      <x:c r="A15" s="20"/>
      <x:c r="B15" s="20"/>
      <x:c r="C15" s="20"/>
      <x:c r="D15" s="20"/>
      <x:c r="E15" s="20"/>
      <x:c r="F15" s="20"/>
      <x:c r="G15" s="20"/>
      <x:c r="H15" s="20"/>
    </x:row>
    <x:row r="17">
      <x:c r="A17" s="15" t="str">
        <x:v>Counting note</x:v>
      </x:c>
      <x:c r="B17" s="15"/>
      <x:c r="C17" s="15"/>
      <x:c r="D17" s="15"/>
      <x:c r="E17" s="15"/>
      <x:c r="F17" s="15"/>
      <x:c r="G17" s="15"/>
      <x:c r="H17" s="15"/>
    </x:row>
    <x:row r="18">
      <x:c r="A18" s="20" t="str">
        <x:v>The 541 rows are source references/series, not a claim that the scheme contains only 541 simplified characters. Generic component rows can stand for many derived characters, and word-level/multi-character simplifications also complicate simple row counts. The historical headline totals (248 in Table 1; 605 in Table 2; 853 overall) should therefore remain separate from this extraction-row count.</x:v>
      </x:c>
      <x:c r="B18" s="20"/>
      <x:c r="C18" s="20"/>
      <x:c r="D18" s="20"/>
      <x:c r="E18" s="20"/>
      <x:c r="F18" s="20"/>
      <x:c r="G18" s="20"/>
      <x:c r="H18" s="20"/>
    </x:row>
    <x:row r="19">
      <x:c r="A19" s="20"/>
      <x:c r="B19" s="20"/>
      <x:c r="C19" s="20"/>
      <x:c r="D19" s="20"/>
      <x:c r="E19" s="20"/>
      <x:c r="F19" s="20"/>
      <x:c r="G19" s="20"/>
      <x:c r="H19" s="20"/>
    </x:row>
    <x:row r="20">
      <x:c r="A20" s="20"/>
      <x:c r="B20" s="20"/>
      <x:c r="C20" s="20"/>
      <x:c r="D20" s="20"/>
      <x:c r="E20" s="20"/>
      <x:c r="F20" s="20"/>
      <x:c r="G20" s="20"/>
      <x:c r="H20" s="20"/>
    </x:row>
    <x:row r="22">
      <x:c r="A22" s="15" t="str">
        <x:v>Font/rendering note</x:v>
      </x:c>
      <x:c r="B22" s="15"/>
      <x:c r="C22" s="15"/>
      <x:c r="D22" s="15"/>
      <x:c r="E22" s="15"/>
      <x:c r="F22" s="15"/>
      <x:c r="G22" s="15"/>
      <x:c r="H22" s="15"/>
    </x:row>
    <x:row r="23">
      <x:c r="A23" s="20" t="str">
        <x:v>Rare CJK extensions may display as tofu/blank boxes if the viewing system lacks a font covering the scalar. The workbook stores the Unicode characters themselves where available; display failure should not be interpreted as missing data.</x:v>
      </x:c>
      <x:c r="B23" s="20"/>
      <x:c r="C23" s="20"/>
      <x:c r="D23" s="20"/>
      <x:c r="E23" s="20"/>
      <x:c r="F23" s="20"/>
      <x:c r="G23" s="20"/>
      <x:c r="H23" s="20"/>
    </x:row>
    <x:row r="24">
      <x:c r="A24" s="20"/>
      <x:c r="B24" s="20"/>
      <x:c r="C24" s="20"/>
      <x:c r="D24" s="20"/>
      <x:c r="E24" s="20"/>
      <x:c r="F24" s="20"/>
      <x:c r="G24" s="20"/>
      <x:c r="H24" s="20"/>
    </x:row>
    <x:row r="25">
      <x:c r="A25" s="20"/>
      <x:c r="B25" s="20"/>
      <x:c r="C25" s="20"/>
      <x:c r="D25" s="20"/>
      <x:c r="E25" s="20"/>
      <x:c r="F25" s="20"/>
      <x:c r="G25" s="20"/>
      <x:c r="H25" s="20"/>
    </x:row>
  </x:sheetData>
  <x:mergeCells>
    <x:mergeCell ref="A1:H1"/>
    <x:mergeCell ref="A2:H2"/>
    <x:mergeCell ref="A12:H12"/>
    <x:mergeCell ref="A13:H15"/>
    <x:mergeCell ref="A17:H17"/>
    <x:mergeCell ref="A18:H20"/>
    <x:mergeCell ref="A22:H22"/>
    <x:mergeCell ref="A23:H25"/>
  </x:mergeCells>
  <x:pageMargins left="0.7" right="0.7" top="0.75" bottom="0.75" header="0.3" footer="0.3"/>
</x:worksheet>
</file>

<file path=xl/worksheets/sheet2.xml><?xml version="1.0" encoding="utf-8"?>
<x:worksheet xmlns:x="http://schemas.openxmlformats.org/spreadsheetml/2006/main">
  <x:sheetFormatPr defaultRowHeight="15"/>
  <x:cols>
    <x:col min="1" max="1" width="48" hidden="0" customWidth="1"/>
    <x:col min="2" max="2" width="14" hidden="0" customWidth="1"/>
    <x:col min="4" max="4" width="12" hidden="0" customWidth="1"/>
    <x:col min="5" max="5" width="12" hidden="0" customWidth="1"/>
  </x:cols>
  <x:sheetData>
    <x:row r="1">
      <x:c r="A1" s="30" t="str">
        <x:v>Coverage snapshot</x:v>
      </x:c>
      <x:c r="B1" s="30"/>
      <x:c r="C1" s="30"/>
      <x:c r="D1" s="30"/>
      <x:c r="E1" s="30"/>
      <x:c r="F1" s="30"/>
    </x:row>
    <x:row r="2">
      <x:c r="A2" s="20"/>
      <x:c r="B2" s="20"/>
      <x:c r="C2" s="20"/>
      <x:c r="D2" s="20"/>
      <x:c r="E2" s="20"/>
      <x:c r="F2" s="20"/>
    </x:row>
    <x:row r="3">
      <x:c r="A3" s="25" t="str">
        <x:v>Metric</x:v>
      </x:c>
      <x:c r="B3" s="25" t="str">
        <x:v>Value</x:v>
      </x:c>
      <x:c r="C3" s="20"/>
      <x:c r="D3" s="25" t="str">
        <x:v>Table</x:v>
      </x:c>
      <x:c r="E3" s="25" t="str">
        <x:v>Rows</x:v>
      </x:c>
      <x:c r="F3" s="20"/>
    </x:row>
    <x:row r="4">
      <x:c r="A4" s="20" t="str">
        <x:v>Working reference rows</x:v>
      </x:c>
      <x:c r="B4" s="20" t="n">
        <x:f>COUNTA(Repertoire_2022!A2:A700)</x:f>
        <x:v>541</x:v>
      </x:c>
      <x:c r="C4" s="20"/>
      <x:c r="D4" s="20" t="str">
        <x:v>1.1</x:v>
      </x:c>
      <x:c r="E4" s="20" t="n">
        <x:f>COUNTIF(Repertoire_2022!D2:D700,D4)</x:f>
        <x:v>161</x:v>
      </x:c>
      <x:c r="F4" s="20"/>
    </x:row>
    <x:row r="5">
      <x:c r="A5" s="20" t="str">
        <x:v>Structured PDF rows</x:v>
      </x:c>
      <x:c r="B5" s="20" t="n">
        <x:f>COUNTIF(Repertoire_2022!P2:P700,"Structured")</x:f>
        <x:v>515</x:v>
      </x:c>
      <x:c r="C5" s="20"/>
      <x:c r="D5" s="20" t="str">
        <x:v>1.2</x:v>
      </x:c>
      <x:c r="E5" s="20" t="n">
        <x:f>COUNTIF(Repertoire_2022!D2:D700,D5)</x:f>
        <x:v>75</x:v>
      </x:c>
      <x:c r="F5" s="20"/>
    </x:row>
    <x:row r="6">
      <x:c r="A6" s="20" t="str">
        <x:v>Unparsed reference placeholders</x:v>
      </x:c>
      <x:c r="B6" s="20" t="n">
        <x:f>B4-B5</x:f>
        <x:v>26</x:v>
      </x:c>
      <x:c r="C6" s="20"/>
      <x:c r="D6" s="20" t="str">
        <x:v>2.1</x:v>
      </x:c>
      <x:c r="E6" s="20" t="n">
        <x:f>COUNTIF(Repertoire_2022!D2:D700,D6)</x:f>
        <x:v>66</x:v>
      </x:c>
      <x:c r="F6" s="20"/>
    </x:row>
    <x:row r="7">
      <x:c r="A7" s="20" t="str">
        <x:v>Rows marked High priority</x:v>
      </x:c>
      <x:c r="B7" s="20" t="n">
        <x:f>COUNTIF(Repertoire_2022!O2:O700,"High")</x:f>
        <x:v>73</x:v>
      </x:c>
      <x:c r="C7" s="20"/>
      <x:c r="D7" s="20" t="str">
        <x:v>2.2</x:v>
      </x:c>
      <x:c r="E7" s="20" t="n">
        <x:f>COUNTIF(Repertoire_2022!D2:D700,D7)</x:f>
        <x:v>116</x:v>
      </x:c>
      <x:c r="F7" s="20"/>
    </x:row>
    <x:row r="8">
      <x:c r="A8" s="20" t="str">
        <x:v>Rows recognised as Extension G code points</x:v>
      </x:c>
      <x:c r="B8" s="20" t="n">
        <x:f>COUNTIF(Repertoire_2022!N2:N700,"Encoded now — Extension G")</x:f>
        <x:v>96</x:v>
      </x:c>
      <x:c r="C8" s="20"/>
      <x:c r="D8" s="20" t="str">
        <x:v>2.3</x:v>
      </x:c>
      <x:c r="E8" s="20" t="n">
        <x:f>COUNTIF(Repertoire_2022!D2:D700,D8)</x:f>
        <x:v>32</x:v>
      </x:c>
      <x:c r="F8" s="20"/>
    </x:row>
    <x:row r="9">
      <x:c r="A9" s="20" t="str">
        <x:v>N2921 sample candidates included</x:v>
      </x:c>
      <x:c r="B9" s="20" t="n">
        <x:f>COUNTA(GEJ_2026_sample!A2:A100)</x:f>
        <x:v>46</x:v>
      </x:c>
      <x:c r="C9" s="20"/>
      <x:c r="D9" s="20" t="str">
        <x:v>2.4</x:v>
      </x:c>
      <x:c r="E9" s="20" t="n">
        <x:f>COUNTIF(Repertoire_2022!D2:D700,D9)</x:f>
        <x:v>24</x:v>
      </x:c>
      <x:c r="F9" s="20"/>
    </x:row>
    <x:row r="10">
      <x:c r="A10" s="20"/>
      <x:c r="B10" s="20"/>
      <x:c r="C10" s="20"/>
      <x:c r="D10" s="20" t="str">
        <x:v>2.5</x:v>
      </x:c>
      <x:c r="E10" s="20" t="n">
        <x:f>COUNTIF(Repertoire_2022!D2:D700,D10)</x:f>
        <x:v>16</x:v>
      </x:c>
      <x:c r="F10" s="20"/>
    </x:row>
    <x:row r="11">
      <x:c r="A11" s="20"/>
      <x:c r="B11" s="20"/>
      <x:c r="C11" s="20"/>
      <x:c r="D11" s="20" t="str">
        <x:v>2.6</x:v>
      </x:c>
      <x:c r="E11" s="20" t="n">
        <x:f>COUNTIF(Repertoire_2022!D2:D700,D11)</x:f>
        <x:v>6</x:v>
      </x:c>
      <x:c r="F11" s="20"/>
    </x:row>
    <x:row r="12">
      <x:c r="A12" s="25" t="str">
        <x:v>2026 review status</x:v>
      </x:c>
      <x:c r="B12" s="25" t="str">
        <x:v>Rows</x:v>
      </x:c>
      <x:c r="C12" s="20"/>
      <x:c r="D12" s="20" t="str">
        <x:v>2.7</x:v>
      </x:c>
      <x:c r="E12" s="20" t="n">
        <x:f>COUNTIF(Repertoire_2022!D2:D700,D12)</x:f>
        <x:v>5</x:v>
      </x:c>
      <x:c r="F12" s="20"/>
    </x:row>
    <x:row r="13">
      <x:c r="A13" s="20" t="str">
        <x:v>Encoded now — Extension G</x:v>
      </x:c>
      <x:c r="B13" s="20" t="n">
        <x:f>COUNTIF(Repertoire_2022!N2:N700,A13)</x:f>
        <x:v>96</x:v>
      </x:c>
      <x:c r="C13" s="20"/>
      <x:c r="D13" s="20" t="str">
        <x:v>2.8</x:v>
      </x:c>
      <x:c r="E13" s="20" t="n">
        <x:f>COUNTIF(Repertoire_2022!D2:D700,D13)</x:f>
        <x:v>24</x:v>
      </x:c>
      <x:c r="F13" s="20"/>
    </x:row>
    <x:row r="14">
      <x:c r="A14" s="20" t="str">
        <x:v>Unicode code point recorded</x:v>
      </x:c>
      <x:c r="B14" s="20" t="n">
        <x:f>COUNTIF(Repertoire_2022!N2:N700,A14)</x:f>
        <x:v>274</x:v>
      </x:c>
      <x:c r="C14" s="20"/>
      <x:c r="D14" s="20" t="str">
        <x:v>2.9</x:v>
      </x:c>
      <x:c r="E14" s="20" t="n">
        <x:f>COUNTIF(Repertoire_2022!D2:D700,D14)</x:f>
        <x:v>16</x:v>
      </x:c>
      <x:c r="F14" s="20"/>
    </x:row>
    <x:row r="15">
      <x:c r="A15" s="20" t="str">
        <x:v>IDS / unencoded in 2022 source — review against Unicode 17 / GEJ</x:v>
      </x:c>
      <x:c r="B15" s="20" t="n">
        <x:f>COUNTIF(Repertoire_2022!N2:N700,A15)</x:f>
        <x:v>73</x:v>
      </x:c>
      <x:c r="C15" s="20"/>
      <x:c r="D15" s="20"/>
      <x:c r="E15" s="20"/>
      <x:c r="F15" s="20"/>
    </x:row>
    <x:row r="16">
      <x:c r="A16" s="20" t="str">
        <x:v>No parseable code point — manual review</x:v>
      </x:c>
      <x:c r="B16" s="20" t="n">
        <x:f>COUNTIF(Repertoire_2022!N2:N700,A16)</x:f>
        <x:v>7</x:v>
      </x:c>
      <x:c r="C16" s="20"/>
      <x:c r="D16" s="20"/>
      <x:c r="E16" s="20"/>
      <x:c r="F16" s="20"/>
    </x:row>
    <x:row r="17">
      <x:c r="A17" s="20" t="str">
        <x:v>No code-point data extracted — manual review</x:v>
      </x:c>
      <x:c r="B17" s="20" t="n">
        <x:f>COUNTIF(Repertoire_2022!N2:N700,A17)</x:f>
        <x:v>91</x:v>
      </x:c>
      <x:c r="C17" s="20"/>
      <x:c r="D17" s="20"/>
      <x:c r="E17" s="20"/>
      <x:c r="F17" s="20"/>
    </x:row>
    <x:row r="18">
      <x:c r="A18" s="20"/>
      <x:c r="B18" s="20"/>
      <x:c r="C18" s="20"/>
      <x:c r="D18" s="20"/>
      <x:c r="E18" s="20"/>
      <x:c r="F18" s="20"/>
    </x:row>
    <x:row r="19">
      <x:c r="A19" s="20"/>
      <x:c r="B19" s="20"/>
      <x:c r="C19" s="20"/>
      <x:c r="D19" s="20"/>
      <x:c r="E19" s="20"/>
      <x:c r="F19" s="20"/>
    </x:row>
    <x:row r="20">
      <x:c r="A20" s="20"/>
      <x:c r="B20" s="20"/>
      <x:c r="C20" s="20"/>
      <x:c r="D20" s="20"/>
      <x:c r="E20" s="20"/>
      <x:c r="F20" s="20"/>
    </x:row>
    <x:row r="21">
      <x:c r="A21" s="20"/>
      <x:c r="B21" s="20"/>
      <x:c r="C21" s="20"/>
      <x:c r="D21" s="20"/>
      <x:c r="E21" s="20"/>
      <x:c r="F21" s="20"/>
    </x:row>
    <x:row r="22">
      <x:c r="A22" s="20"/>
      <x:c r="B22" s="20"/>
      <x:c r="C22" s="20"/>
      <x:c r="D22" s="20"/>
      <x:c r="E22" s="20"/>
      <x:c r="F22" s="20"/>
    </x:row>
    <x:row r="23">
      <x:c r="A23" s="20"/>
      <x:c r="B23" s="20"/>
      <x:c r="C23" s="20"/>
      <x:c r="D23" s="20"/>
      <x:c r="E23" s="20"/>
      <x:c r="F23" s="20"/>
    </x:row>
    <x:row r="24">
      <x:c r="A24" s="20"/>
      <x:c r="B24" s="20"/>
      <x:c r="C24" s="20"/>
      <x:c r="D24" s="20"/>
      <x:c r="E24" s="20"/>
      <x:c r="F24" s="20"/>
    </x:row>
    <x:row r="25">
      <x:c r="A25" s="20"/>
      <x:c r="B25" s="20"/>
      <x:c r="C25" s="20"/>
      <x:c r="D25" s="20"/>
      <x:c r="E25" s="20"/>
      <x:c r="F25" s="20"/>
    </x:row>
    <x:row r="26">
      <x:c r="A26" s="20"/>
      <x:c r="B26" s="20"/>
      <x:c r="C26" s="20"/>
      <x:c r="D26" s="20"/>
      <x:c r="E26" s="20"/>
      <x:c r="F26" s="20"/>
    </x:row>
    <x:row r="27">
      <x:c r="A27" s="20"/>
      <x:c r="B27" s="20"/>
      <x:c r="C27" s="20"/>
      <x:c r="D27" s="20"/>
      <x:c r="E27" s="20"/>
      <x:c r="F27" s="20"/>
    </x:row>
    <x:row r="28">
      <x:c r="A28" s="20"/>
      <x:c r="B28" s="20"/>
      <x:c r="C28" s="20"/>
      <x:c r="D28" s="20"/>
      <x:c r="E28" s="20"/>
      <x:c r="F28" s="20"/>
    </x:row>
    <x:row r="29">
      <x:c r="A29" s="20"/>
      <x:c r="B29" s="20"/>
      <x:c r="C29" s="20"/>
      <x:c r="D29" s="20"/>
      <x:c r="E29" s="20"/>
      <x:c r="F29" s="20"/>
    </x:row>
    <x:row r="30">
      <x:c r="A30" s="20"/>
      <x:c r="B30" s="20"/>
      <x:c r="C30" s="20"/>
      <x:c r="D30" s="20"/>
      <x:c r="E30" s="20"/>
      <x:c r="F30" s="20"/>
    </x:row>
  </x:sheetData>
  <x:mergeCells>
    <x:mergeCell ref="A1:F1"/>
  </x:mergeCells>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9" hidden="0" customWidth="1"/>
    <x:col min="3" max="3" width="11" hidden="0" customWidth="1"/>
    <x:col min="4" max="4" width="9" hidden="0" customWidth="1"/>
    <x:col min="5" max="5" width="42" hidden="0" customWidth="1"/>
    <x:col min="6" max="6" width="25" hidden="0" customWidth="1"/>
    <x:col min="7" max="7" width="16" hidden="0" customWidth="1"/>
    <x:col min="8" max="8" width="28" hidden="0" customWidth="1"/>
    <x:col min="9" max="9" width="14" hidden="0" customWidth="1"/>
    <x:col min="10" max="10" width="28" hidden="0" customWidth="1"/>
    <x:col min="11" max="11" width="34" hidden="0" customWidth="1"/>
    <x:col min="12" max="12" width="13" hidden="0" customWidth="1"/>
    <x:col min="13" max="13" width="34" hidden="0" customWidth="1"/>
    <x:col min="14" max="14" width="43" hidden="0" customWidth="1"/>
    <x:col min="15" max="15" width="14" hidden="0" customWidth="1"/>
    <x:col min="16" max="16" width="24" hidden="0" customWidth="1"/>
    <x:col min="17" max="17" width="54" hidden="0" customWidth="1"/>
    <x:col min="18" max="18" width="42" hidden="0" customWidth="1"/>
  </x:cols>
  <x:sheetData>
    <x:row r="1">
      <x:c r="A1" s="25" t="str">
        <x:v>Ref</x:v>
      </x:c>
      <x:c r="B1" s="25" t="str">
        <x:v>PDF page</x:v>
      </x:c>
      <x:c r="C1" s="25" t="str">
        <x:v>Part</x:v>
      </x:c>
      <x:c r="D1" s="25" t="str">
        <x:v>Table</x:v>
      </x:c>
      <x:c r="E1" s="25" t="str">
        <x:v>Category</x:v>
      </x:c>
      <x:c r="F1" s="25" t="str">
        <x:v>2022 new Unicode / IDS field</x:v>
      </x:c>
      <x:c r="G1" s="25" t="str">
        <x:v>2022 rendered glyph</x:v>
      </x:c>
      <x:c r="H1" s="25" t="str">
        <x:v>Simplified from / standard form</x:v>
      </x:c>
      <x:c r="I1" s="25" t="str">
        <x:v>Reading</x:v>
      </x:c>
      <x:c r="J1" s="25" t="str">
        <x:v>Standard Unicode field</x:v>
      </x:c>
      <x:c r="K1" s="25" t="str">
        <x:v>Comments</x:v>
      </x:c>
      <x:c r="L1" s="25" t="str">
        <x:v>Parsed code point</x:v>
      </x:c>
      <x:c r="M1" s="25" t="str">
        <x:v>Current Unicode block</x:v>
      </x:c>
      <x:c r="N1" s="25" t="str">
        <x:v>2026 working status</x:v>
      </x:c>
      <x:c r="O1" s="25" t="str">
        <x:v>Review priority</x:v>
      </x:c>
      <x:c r="P1" s="25" t="str">
        <x:v>Extraction status</x:v>
      </x:c>
      <x:c r="Q1" s="25" t="str">
        <x:v>Raw extracted row</x:v>
      </x:c>
      <x:c r="R1" s="25" t="str">
        <x:v>Source</x:v>
      </x:c>
    </x:row>
    <x:row r="2">
      <x:c r="A2" s="20" t="str">
        <x:v>1.1.001</x:v>
      </x:c>
      <x:c r="B2" s="20" t="n">
        <x:v>2</x:v>
      </x:c>
      <x:c r="C2" s="20" t="str">
        <x:v>Part One</x:v>
      </x:c>
      <x:c r="D2" s="20" t="str">
        <x:v>1.1</x:v>
      </x:c>
      <x:c r="E2" s="20" t="str">
        <x:v>Part One — Individual Simplifications</x:v>
      </x:c>
      <x:c r="F2" s="20" t="str">
        <x:v>3907 [UNUSED]</x:v>
      </x:c>
      <x:c r="G2" s="20" t="str">
        <x:v>㤇</x:v>
      </x:c>
      <x:c r="H2" s="20" t="str">
        <x:v>懊</x:v>
      </x:c>
      <x:c r="I2" s="20" t="str">
        <x:v>ào</x:v>
      </x:c>
      <x:c r="J2" s="20" t="str">
        <x:v>61CA [TGH 1]
“vexed and regretful”</x:v>
      </x:c>
      <x:c r="K2" s="20" t="str"/>
      <x:c r="L2" s="20" t="str">
        <x:v>U+3907</x:v>
      </x:c>
      <x:c r="M2" s="20" t="str">
        <x:v>CJK Unified Ideographs Extension A</x:v>
      </x:c>
      <x:c r="N2" s="20" t="str">
        <x:v>Unicode code point recorded</x:v>
      </x:c>
      <x:c r="O2" s="20" t="str">
        <x:v>Low</x:v>
      </x:c>
      <x:c r="P2" s="20" t="str">
        <x:v>Structured</x:v>
      </x:c>
      <x:c r="Q2" s="20" t="str">
        <x:v>1.1.001 | 3907 [UNUSED] | 㤇 | 懊 | ào | 61CA [TGH 1] / “vexed and regretful”</x:v>
      </x:c>
      <x:c r="R2" s="20" t="str">
        <x:v>Uploaded: n2924-SecondStageSimplificationStatusv3.pdf</x:v>
      </x:c>
    </x:row>
    <x:row r="3">
      <x:c r="A3" s="20" t="str">
        <x:v>1.1.002</x:v>
      </x:c>
      <x:c r="B3" s="20" t="n">
        <x:v>3</x:v>
      </x:c>
      <x:c r="C3" s="20" t="str">
        <x:v>Part One</x:v>
      </x:c>
      <x:c r="D3" s="20" t="str">
        <x:v>1.1</x:v>
      </x:c>
      <x:c r="E3" s="20" t="str">
        <x:v>Part One — Individual Simplifications</x:v>
      </x:c>
      <x:c r="F3" s="20" t="str">
        <x:v>5DF4 [TGH 1]
“hope for; cling
to; be near; bar”</x:v>
      </x:c>
      <x:c r="G3" s="20" t="str">
        <x:v>巴</x:v>
      </x:c>
      <x:c r="H3" s="20" t="str">
        <x:v>芭
笆
粑</x:v>
      </x:c>
      <x:c r="I3" s="20" t="str">
        <x:v>bā</x:v>
      </x:c>
      <x:c r="J3" s="20" t="str">
        <x:v>82AD [TGH 1]
【 】 bājiāo “plantain,
芭蕉
banana”
7B06 [TGH 2]
“woven bamboo”
7C91 [TGH 2]
“certain cake-like foods”</x:v>
      </x:c>
      <x:c r="K3" s="20" t="str"/>
      <x:c r="L3" s="20" t="str">
        <x:v>U+5DF4</x:v>
      </x:c>
      <x:c r="M3" s="20" t="str">
        <x:v>CJK Unified Ideographs</x:v>
      </x:c>
      <x:c r="N3" s="20" t="str">
        <x:v>Unicode code point recorded</x:v>
      </x:c>
      <x:c r="O3" s="20" t="str">
        <x:v>Low</x:v>
      </x:c>
      <x:c r="P3" s="20" t="str">
        <x:v>Structured</x:v>
      </x:c>
      <x:c r="Q3" s="20" t="str">
        <x:v>1.1.002 | 5DF4 [TGH 1] / “hope for; cling / to; be near; bar” | 巴 | 芭 / 笆 / 粑 | bā | 82AD [TGH 1] / 【 】 bājiāo “plantain, / 芭蕉 / banana” / 7B06 [TGH 2] / “woven bamboo” / 7C91 [TGH 2] / “certain cake-like foods”</x:v>
      </x:c>
      <x:c r="R3" s="20" t="str">
        <x:v>Uploaded: n2924-SecondStageSimplificationStatusv3.pdf</x:v>
      </x:c>
    </x:row>
    <x:row r="4">
      <x:c r="A4" s="20" t="str">
        <x:v>1.1.003</x:v>
      </x:c>
      <x:c r="B4" s="20" t="n">
        <x:v>3</x:v>
      </x:c>
      <x:c r="C4" s="20" t="str">
        <x:v>Part One</x:v>
      </x:c>
      <x:c r="D4" s="20" t="str">
        <x:v>1.1</x:v>
      </x:c>
      <x:c r="E4" s="20" t="str">
        <x:v>Part One — Individual Simplifications</x:v>
      </x:c>
      <x:c r="F4" s="20" t="str">
        <x:v>90A6 [TGH 1]
“(poetic) nation;
state; country”</x:v>
      </x:c>
      <x:c r="G4" s="20" t="str">
        <x:v>邦</x:v>
      </x:c>
      <x:c r="H4" s="20" t="str">
        <x:v>帮</x:v>
      </x:c>
      <x:c r="I4" s="20" t="str">
        <x:v>bāng</x:v>
      </x:c>
      <x:c r="J4" s="20" t="str">
        <x:v>5E2E [TGH 1]
“help, assist; gang,
clique, group”</x:v>
      </x:c>
      <x:c r="K4" s="20" t="str"/>
      <x:c r="L4" s="20" t="str">
        <x:v>U+90A6</x:v>
      </x:c>
      <x:c r="M4" s="20" t="str">
        <x:v>CJK Unified Ideographs</x:v>
      </x:c>
      <x:c r="N4" s="20" t="str">
        <x:v>Unicode code point recorded</x:v>
      </x:c>
      <x:c r="O4" s="20" t="str">
        <x:v>Low</x:v>
      </x:c>
      <x:c r="P4" s="20" t="str">
        <x:v>Structured</x:v>
      </x:c>
      <x:c r="Q4" s="20" t="str">
        <x:v>1.1.003 | 90A6 [TGH 1] / “(poetic) nation; / state; country” | 邦 | 帮 | bāng | 5E2E [TGH 1] / “help, assist; gang, / clique, group”</x:v>
      </x:c>
      <x:c r="R4" s="20" t="str">
        <x:v>Uploaded: n2924-SecondStageSimplificationStatusv3.pdf</x:v>
      </x:c>
    </x:row>
    <x:row r="5">
      <x:c r="A5" s="20" t="str">
        <x:v>1.1.004</x:v>
      </x:c>
      <x:c r="B5" s="20" t="n">
        <x:v>3</x:v>
      </x:c>
      <x:c r="C5" s="20" t="str">
        <x:v>Part One</x:v>
      </x:c>
      <x:c r="D5" s="20" t="str">
        <x:v>1.1</x:v>
      </x:c>
      <x:c r="E5" s="20" t="str">
        <x:v>Part One — Individual Simplifications</x:v>
      </x:c>
      <x:c r="F5" s="20" t="str">
        <x:v>2418A
[UNUSED]</x:v>
      </x:c>
      <x:c r="G5" s="20" t="str">
        <x:v>𤆊𤆊</x:v>
      </x:c>
      <x:c r="H5" s="20" t="str">
        <x:v>爆</x:v>
      </x:c>
      <x:c r="I5" s="20" t="str">
        <x:v>bào</x:v>
      </x:c>
      <x:c r="J5" s="20" t="str">
        <x:v>7206 [TGH 1]
“explode, burst; quick-fry,
quick-boil; erupt, burst
out”</x:v>
      </x:c>
      <x:c r="K5" s="20" t="str"/>
      <x:c r="L5" s="20" t="str">
        <x:v>U+2418A</x:v>
      </x:c>
      <x:c r="M5" s="20" t="str">
        <x:v>CJK Unified Ideographs Extension B</x:v>
      </x:c>
      <x:c r="N5" s="20" t="str">
        <x:v>Unicode code point recorded</x:v>
      </x:c>
      <x:c r="O5" s="20" t="str">
        <x:v>Low</x:v>
      </x:c>
      <x:c r="P5" s="20" t="str">
        <x:v>Structured</x:v>
      </x:c>
      <x:c r="Q5" s="20" t="str">
        <x:v>1.1.004 | 2418A / [UNUSED] | 𤆊𤆊 | 爆 | bào | 7206 [TGH 1] / “explode, burst; quick-fry, / quick-boil; erupt, burst / out”</x:v>
      </x:c>
      <x:c r="R5" s="20" t="str">
        <x:v>Uploaded: n2924-SecondStageSimplificationStatusv3.pdf</x:v>
      </x:c>
    </x:row>
    <x:row r="6">
      <x:c r="A6" s="20" t="str">
        <x:v>1.1.005</x:v>
      </x:c>
      <x:c r="B6" s="20" t="n">
        <x:v>3</x:v>
      </x:c>
      <x:c r="C6" s="20" t="str">
        <x:v>Part One</x:v>
      </x:c>
      <x:c r="D6" s="20" t="str">
        <x:v>1.1</x:v>
      </x:c>
      <x:c r="E6" s="20" t="str">
        <x:v>Part One — Individual Simplifications</x:v>
      </x:c>
      <x:c r="F6" s="20" t="str">
        <x:v>8298 [TGH 3]
bǐ
“pyrene”</x:v>
      </x:c>
      <x:c r="G6" s="20" t="str">
        <x:v>芘</x:v>
      </x:c>
      <x:c r="H6" s="20" t="str">
        <x:v>蓖
篦
蔽</x:v>
      </x:c>
      <x:c r="I6" s="20" t="str">
        <x:v>bì</x:v>
      </x:c>
      <x:c r="J6" s="20" t="str">
        <x:v>84D6 [TGH 2]
【 】 bìmá “castor-oil
蓖麻
plant”
7BE6 [TGH 2]
“double-edged fine-tooth
comb”
853D [TGH 1]
“cover; shelter; hide from;
shabby”</x:v>
      </x:c>
      <x:c r="K6" s="20" t="str"/>
      <x:c r="L6" s="20" t="str">
        <x:v>U+8298</x:v>
      </x:c>
      <x:c r="M6" s="20" t="str">
        <x:v>CJK Unified Ideographs</x:v>
      </x:c>
      <x:c r="N6" s="20" t="str">
        <x:v>Unicode code point recorded</x:v>
      </x:c>
      <x:c r="O6" s="20" t="str">
        <x:v>Low</x:v>
      </x:c>
      <x:c r="P6" s="20" t="str">
        <x:v>Structured</x:v>
      </x:c>
      <x:c r="Q6" s="20" t="str">
        <x:v>1.1.005 | 8298 [TGH 3] / bǐ / “pyrene” | 芘 | 蓖 / 篦 / 蔽 | bì | 84D6 [TGH 2] / 【 】 bìmá “castor-oil / 蓖麻 / plant” / 7BE6 [TGH 2] / “double-edged fine-tooth / comb” / 853D [TGH 1] / “cover; shelter; hide from; / shabby”</x:v>
      </x:c>
      <x:c r="R6" s="20" t="str">
        <x:v>Uploaded: n2924-SecondStageSimplificationStatusv3.pdf</x:v>
      </x:c>
    </x:row>
    <x:row r="7">
      <x:c r="A7" s="20" t="str">
        <x:v>1.1.006</x:v>
      </x:c>
      <x:c r="B7" s="20" t="n">
        <x:v>3</x:v>
      </x:c>
      <x:c r="C7" s="20" t="str">
        <x:v>Part One</x:v>
      </x:c>
      <x:c r="D7" s="20" t="str">
        <x:v>1.1</x:v>
      </x:c>
      <x:c r="E7" s="20" t="str">
        <x:v>Part One — Individual Simplifications</x:v>
      </x:c>
      <x:c r="F7" s="20" t="str">
        <x:v>U+30409
(⿱比廾)</x:v>
      </x:c>
      <x:c r="G7" s="20" t="str">
        <x:v>𰐉𰐉</x:v>
      </x:c>
      <x:c r="H7" s="20" t="str">
        <x:v>弊</x:v>
      </x:c>
      <x:c r="I7" s="20" t="str">
        <x:v>bì</x:v>
      </x:c>
      <x:c r="J7" s="20" t="str">
        <x:v>5F0A [TGH 1]
“fraud, abuse, malpractice;
disadvantage, harm”</x:v>
      </x:c>
      <x:c r="K7" s="20" t="str"/>
      <x:c r="L7" s="20" t="str">
        <x:v>U+30409</x:v>
      </x:c>
      <x:c r="M7" s="20" t="str">
        <x:v>CJK Unified Ideographs Extension G</x:v>
      </x:c>
      <x:c r="N7" s="20" t="str">
        <x:v>Encoded now — Extension G</x:v>
      </x:c>
      <x:c r="O7" s="20" t="str">
        <x:v>Low</x:v>
      </x:c>
      <x:c r="P7" s="20" t="str">
        <x:v>Structured</x:v>
      </x:c>
      <x:c r="Q7" s="20" t="str">
        <x:v>1.1.006 | U+30409 / (⿱比廾) | 𰐉𰐉 | 弊 | bì | 5F0A [TGH 1] / “fraud, abuse, malpractice; / disadvantage, harm”</x:v>
      </x:c>
      <x:c r="R7" s="20" t="str">
        <x:v>Uploaded: n2924-SecondStageSimplificationStatusv3.pdf</x:v>
      </x:c>
    </x:row>
    <x:row r="8">
      <x:c r="A8" s="20" t="str">
        <x:v>1.1.007</x:v>
      </x:c>
      <x:c r="B8" s="20" t="n">
        <x:v>3</x:v>
      </x:c>
      <x:c r="C8" s="20" t="str">
        <x:v>Part One</x:v>
      </x:c>
      <x:c r="D8" s="20" t="str">
        <x:v>1.1</x:v>
      </x:c>
      <x:c r="E8" s="20" t="str">
        <x:v>Part One — Individual Simplifications</x:v>
      </x:c>
      <x:c r="F8" s="20" t="str">
        <x:v>5752 [TGH 3]
used in place
names</x:v>
      </x:c>
      <x:c r="G8" s="20" t="str">
        <x:v>坒</x:v>
      </x:c>
      <x:c r="H8" s="20" t="str">
        <x:v>壁</x:v>
      </x:c>
      <x:c r="I8" s="20" t="str">
        <x:v>bì</x:v>
      </x:c>
      <x:c r="J8" s="20" t="str">
        <x:v>58C1 [TGH 1]
“wall; cliff; rampart,
breastwork”</x:v>
      </x:c>
      <x:c r="K8" s="20" t="str"/>
      <x:c r="L8" s="20" t="str">
        <x:v>U+5752</x:v>
      </x:c>
      <x:c r="M8" s="20" t="str">
        <x:v>CJK Unified Ideographs</x:v>
      </x:c>
      <x:c r="N8" s="20" t="str">
        <x:v>Unicode code point recorded</x:v>
      </x:c>
      <x:c r="O8" s="20" t="str">
        <x:v>Low</x:v>
      </x:c>
      <x:c r="P8" s="20" t="str">
        <x:v>Structured</x:v>
      </x:c>
      <x:c r="Q8" s="20" t="str">
        <x:v>1.1.007 | 5752 [TGH 3] / used in place / names | 坒 | 壁 | bì | 58C1 [TGH 1] / “wall; cliff; rampart, / breastwork”</x:v>
      </x:c>
      <x:c r="R8" s="20" t="str">
        <x:v>Uploaded: n2924-SecondStageSimplificationStatusv3.pdf</x:v>
      </x:c>
    </x:row>
    <x:row r="9">
      <x:c r="A9" s="20" t="str">
        <x:v>1.1.008</x:v>
      </x:c>
      <x:c r="B9" s="20" t="n">
        <x:v>3</x:v>
      </x:c>
      <x:c r="C9" s="20" t="str">
        <x:v>Part One</x:v>
      </x:c>
      <x:c r="D9" s="20" t="str">
        <x:v>1.1</x:v>
      </x:c>
      <x:c r="E9" s="20" t="str">
        <x:v>Part One — Individual Simplifications</x:v>
      </x:c>
      <x:c r="F9" s="20" t="str">
        <x:v>6241 [TGH 1]
biǎn
“flat; crushed;
underestimated”
piān</x:v>
      </x:c>
      <x:c r="G9" s="20" t="str">
        <x:v>扁</x:v>
      </x:c>
      <x:c r="H9" s="20" t="str">
        <x:v>萹
藊</x:v>
      </x:c>
      <x:c r="I9" s="20" t="str">
        <x:v>biān
biǎn
biǎn</x:v>
      </x:c>
      <x:c r="J9" s="20" t="str">
        <x:v>8439 [TGH 3]
【 】 biānxù “common
萹蓄
knotgrass, Polygonum
aviculare”
85CA [UNUSED]1
7A28 [UNUSED, HMT]</x:v>
      </x:c>
      <x:c r="K9" s="20" t="str"/>
      <x:c r="L9" s="20" t="str">
        <x:v>U+6241</x:v>
      </x:c>
      <x:c r="M9" s="20" t="str">
        <x:v>CJK Unified Ideographs</x:v>
      </x:c>
      <x:c r="N9" s="20" t="str">
        <x:v>Unicode code point recorded</x:v>
      </x:c>
      <x:c r="O9" s="20" t="str">
        <x:v>Low</x:v>
      </x:c>
      <x:c r="P9" s="20" t="str">
        <x:v>Structured</x:v>
      </x:c>
      <x:c r="Q9" s="20" t="str">
        <x:v>1.1.008 | 6241 [TGH 1] / biǎn / “flat; crushed; / underestimated” / piān | 扁 | 萹 / 藊 | biān / biǎn / biǎn | 8439 [TGH 3] / 【 】 biānxù “common / 萹蓄 / knotgrass, Polygonum / aviculare” / 85CA [UNUSED]1 / 7A28 [UNUSED, HMT]</x:v>
      </x:c>
      <x:c r="R9" s="20" t="str">
        <x:v>Uploaded: n2924-SecondStageSimplificationStatusv3.pdf</x:v>
      </x:c>
    </x:row>
    <x:row r="10">
      <x:c r="A10" s="20" t="str">
        <x:v>1.1.009</x:v>
      </x:c>
      <x:c r="B10" s="20" t="n">
        <x:v>4</x:v>
      </x:c>
      <x:c r="C10" s="20" t="str">
        <x:v>Part One</x:v>
      </x:c>
      <x:c r="D10" s="20" t="str">
        <x:v>1.1</x:v>
      </x:c>
      <x:c r="E10" s="20" t="str">
        <x:v>Part One — Individual Simplifications</x:v>
      </x:c>
      <x:c r="F10" s="20" t="str">
        <x:v>5C4F [TGH 1]
bǐng
“hold (one's
breath); reject,
get rid of,
abandon”
píng
“screen”</x:v>
      </x:c>
      <x:c r="G10" s="20" t="str">
        <x:v>屏</x:v>
      </x:c>
      <x:c r="H10" s="20" t="str">
        <x:v>摒</x:v>
      </x:c>
      <x:c r="I10" s="20" t="str">
        <x:v>bìng</x:v>
      </x:c>
      <x:c r="J10" s="20" t="str">
        <x:v>6452 [TGH 2]
“get rid of, dismiss, brush
aside”</x:v>
      </x:c>
      <x:c r="K10" s="20" t="str"/>
      <x:c r="L10" s="20" t="str">
        <x:v>U+5C4F</x:v>
      </x:c>
      <x:c r="M10" s="20" t="str">
        <x:v>CJK Unified Ideographs</x:v>
      </x:c>
      <x:c r="N10" s="20" t="str">
        <x:v>Unicode code point recorded</x:v>
      </x:c>
      <x:c r="O10" s="20" t="str">
        <x:v>Low</x:v>
      </x:c>
      <x:c r="P10" s="20" t="str">
        <x:v>Structured</x:v>
      </x:c>
      <x:c r="Q10" s="20" t="str">
        <x:v>1.1.009 | 5C4F [TGH 1] / bǐng / “hold (one's / breath); reject, / get rid of, / abandon” / píng / “screen” | 屏 | 摒 | bìng | 6452 [TGH 2] / “get rid of, dismiss, brush / aside”</x:v>
      </x:c>
      <x:c r="R10" s="20" t="str">
        <x:v>Uploaded: n2924-SecondStageSimplificationStatusv3.pdf</x:v>
      </x:c>
    </x:row>
    <x:row r="11">
      <x:c r="A11" s="20" t="str">
        <x:v>1.1.010</x:v>
      </x:c>
      <x:c r="B11" s="20" t="n">
        <x:v>4</x:v>
      </x:c>
      <x:c r="C11" s="20" t="str">
        <x:v>Part One</x:v>
      </x:c>
      <x:c r="D11" s="20" t="str">
        <x:v>1.1</x:v>
      </x:c>
      <x:c r="E11" s="20" t="str">
        <x:v>Part One — Individual Simplifications</x:v>
      </x:c>
      <x:c r="F11" s="20" t="str">
        <x:v>7592 [GB2312]</x:v>
      </x:c>
      <x:c r="G11" s="20" t="str">
        <x:v>疒</x:v>
      </x:c>
      <x:c r="H11" s="20" t="str">
        <x:v>病</x:v>
      </x:c>
      <x:c r="I11" s="20" t="str">
        <x:v>bìng</x:v>
      </x:c>
      <x:c r="J11" s="20" t="str">
        <x:v>75C5 [TGH 1]
“disease; fall sick; fault,
defect”</x:v>
      </x:c>
      <x:c r="K11" s="20" t="str"/>
      <x:c r="L11" s="20" t="str">
        <x:v>U+7592</x:v>
      </x:c>
      <x:c r="M11" s="20" t="str">
        <x:v>CJK Unified Ideographs</x:v>
      </x:c>
      <x:c r="N11" s="20" t="str">
        <x:v>Unicode code point recorded</x:v>
      </x:c>
      <x:c r="O11" s="20" t="str">
        <x:v>Low</x:v>
      </x:c>
      <x:c r="P11" s="20" t="str">
        <x:v>Structured</x:v>
      </x:c>
      <x:c r="Q11" s="20" t="str">
        <x:v>1.1.010 | 7592 [GB2312] | 疒 | 病 | bìng | 75C5 [TGH 1] / “disease; fall sick; fault, / defect”</x:v>
      </x:c>
      <x:c r="R11" s="20" t="str">
        <x:v>Uploaded: n2924-SecondStageSimplificationStatusv3.pdf</x:v>
      </x:c>
    </x:row>
    <x:row r="12">
      <x:c r="A12" s="20" t="str">
        <x:v>1.1.011</x:v>
      </x:c>
      <x:c r="B12" s="20" t="n">
        <x:v>4</x:v>
      </x:c>
      <x:c r="C12" s="20" t="str">
        <x:v>Part One</x:v>
      </x:c>
      <x:c r="D12" s="20" t="str">
        <x:v>1.1</x:v>
      </x:c>
      <x:c r="E12" s="20" t="str">
        <x:v>Part One — Individual Simplifications</x:v>
      </x:c>
      <x:c r="F12" s="20" t="str">
        <x:v>62AA [UNUSED
HMT]</x:v>
      </x:c>
      <x:c r="G12" s="20" t="str">
        <x:v>抪</x:v>
      </x:c>
      <x:c r="H12" s="20" t="str">
        <x:v>播</x:v>
      </x:c>
      <x:c r="I12" s="20" t="str">
        <x:v>bō</x:v>
      </x:c>
      <x:c r="J12" s="20" t="str">
        <x:v>64AD [TGH 1]
“sow, seed; broadcast”</x:v>
      </x:c>
      <x:c r="K12" s="20" t="str"/>
      <x:c r="L12" s="20" t="str">
        <x:v>U+62AA</x:v>
      </x:c>
      <x:c r="M12" s="20" t="str">
        <x:v>CJK Unified Ideographs</x:v>
      </x:c>
      <x:c r="N12" s="20" t="str">
        <x:v>Unicode code point recorded</x:v>
      </x:c>
      <x:c r="O12" s="20" t="str">
        <x:v>Low</x:v>
      </x:c>
      <x:c r="P12" s="20" t="str">
        <x:v>Structured</x:v>
      </x:c>
      <x:c r="Q12" s="20" t="str">
        <x:v>1.1.011 | 62AA [UNUSED / HMT] | 抪 | 播 | bō | 64AD [TGH 1] / “sow, seed; broadcast”</x:v>
      </x:c>
      <x:c r="R12" s="20" t="str">
        <x:v>Uploaded: n2924-SecondStageSimplificationStatusv3.pdf</x:v>
      </x:c>
    </x:row>
    <x:row r="13">
      <x:c r="A13" s="20" t="str">
        <x:v>1.1.012</x:v>
      </x:c>
      <x:c r="B13" s="20" t="n">
        <x:v>4</x:v>
      </x:c>
      <x:c r="C13" s="20" t="str">
        <x:v>Part One</x:v>
      </x:c>
      <x:c r="D13" s="20" t="str">
        <x:v>1.1</x:v>
      </x:c>
      <x:c r="E13" s="20" t="str">
        <x:v>Part One — Individual Simplifications</x:v>
      </x:c>
      <x:c r="F13" s="20" t="str">
        <x:v>3018A
(⿹𠃌𠃌丨)</x:v>
      </x:c>
      <x:c r="G13" s="20" t="str">
        <x:v>𰆊𰆊</x:v>
      </x:c>
      <x:c r="H13" s="20" t="str">
        <x:v>部</x:v>
      </x:c>
      <x:c r="I13" s="20" t="str">
        <x:v>bù</x:v>
      </x:c>
      <x:c r="J13" s="20" t="str">
        <x:v>90E8 [TGH 1]
“part, section; unit;
headquarters, office,
board, ministry; troops,
the military; command;
counter (for film, large
books, machines, etc.)”</x:v>
      </x:c>
      <x:c r="K13" s="20" t="str"/>
      <x:c r="L13" s="20" t="str">
        <x:v>U+3018A</x:v>
      </x:c>
      <x:c r="M13" s="20" t="str">
        <x:v>CJK Unified Ideographs Extension G</x:v>
      </x:c>
      <x:c r="N13" s="20" t="str">
        <x:v>Encoded now — Extension G</x:v>
      </x:c>
      <x:c r="O13" s="20" t="str">
        <x:v>Low</x:v>
      </x:c>
      <x:c r="P13" s="20" t="str">
        <x:v>Structured</x:v>
      </x:c>
      <x:c r="Q13" s="20" t="str">
        <x:v>1.1.012 | 3018A / (⿹𠃌𠃌丨) | 𰆊𰆊 | 部 | bù | 90E8 [TGH 1] / “part, section; unit; / headquarters, office, / board, ministry; troops, / the military; command; / counter (for film, large / books, machines, etc.)”</x:v>
      </x:c>
      <x:c r="R13" s="20" t="str">
        <x:v>Uploaded: n2924-SecondStageSimplificationStatusv3.pdf</x:v>
      </x:c>
    </x:row>
    <x:row r="14">
      <x:c r="A14" s="20" t="str">
        <x:v>1.1.013</x:v>
      </x:c>
      <x:c r="B14" s="20" t="n">
        <x:v>4</x:v>
      </x:c>
      <x:c r="C14" s="20" t="str">
        <x:v>Part One</x:v>
      </x:c>
      <x:c r="D14" s="20" t="str">
        <x:v>1.1</x:v>
      </x:c>
      <x:c r="E14" s="20" t="str">
        <x:v>Part One — Individual Simplifications</x:v>
      </x:c>
      <x:c r="F14" s="20" t="str">
        <x:v>91C7 [TGH 1]
cǎi
“pick, gather;
mine; select;
variegated color;
facial color and
expression,
spirit”
cài
“fief, benefice”</x:v>
      </x:c>
      <x:c r="G14" s="20" t="str">
        <x:v>采</x:v>
      </x:c>
      <x:c r="H14" s="20" t="str">
        <x:v>彩</x:v>
      </x:c>
      <x:c r="I14" s="20" t="str">
        <x:v>cǎi</x:v>
      </x:c>
      <x:c r="J14" s="20" t="str">
        <x:v>5F69 [TGH 1]
“color, colors in
combination; brilliance,
splendor; prize; blood from
a wound”</x:v>
      </x:c>
      <x:c r="K14" s="20" t="str"/>
      <x:c r="L14" s="20" t="str">
        <x:v>U+91C7</x:v>
      </x:c>
      <x:c r="M14" s="20" t="str">
        <x:v>CJK Unified Ideographs</x:v>
      </x:c>
      <x:c r="N14" s="20" t="str">
        <x:v>Unicode code point recorded</x:v>
      </x:c>
      <x:c r="O14" s="20" t="str">
        <x:v>Low</x:v>
      </x:c>
      <x:c r="P14" s="20" t="str">
        <x:v>Structured</x:v>
      </x:c>
      <x:c r="Q14" s="20" t="str">
        <x:v>1.1.013 | 91C7 [TGH 1] / cǎi / “pick, gather; / mine; select; / variegated color; / facial color and / expression, / spirit” / cài / “fief, benefice” | 采 | 彩 | cǎi | 5F69 [TGH 1] / “color, colors in / combination; brilliance, / splendor; prize; blood from / a wound”</x:v>
      </x:c>
      <x:c r="R14" s="20" t="str">
        <x:v>Uploaded: n2924-SecondStageSimplificationStatusv3.pdf</x:v>
      </x:c>
    </x:row>
    <x:row r="15">
      <x:c r="A15" s="20" t="str">
        <x:v>1.1.014</x:v>
      </x:c>
      <x:c r="B15" s="20" t="n">
        <x:v>4</x:v>
      </x:c>
      <x:c r="C15" s="20" t="str">
        <x:v>Part One</x:v>
      </x:c>
      <x:c r="D15" s="20" t="str">
        <x:v>1.1</x:v>
      </x:c>
      <x:c r="E15" s="20" t="str">
        <x:v>Part One — Individual Simplifications</x:v>
      </x:c>
      <x:c r="F15" s="20" t="str">
        <x:v>26B01
[UNUSED]</x:v>
      </x:c>
      <x:c r="G15" s="20" t="str">
        <x:v>𦬁𦬁</x:v>
      </x:c>
      <x:c r="H15" s="20" t="str">
        <x:v>菜
蔡</x:v>
      </x:c>
      <x:c r="I15" s="20" t="str">
        <x:v>cài</x:v>
      </x:c>
      <x:c r="J15" s="20" t="str">
        <x:v>83DC [TGH 1]
“vegetables, greens; (non-
staple) food; dish, course”
8521 [TGH 1]
an ancient state; a surname</x:v>
      </x:c>
      <x:c r="K15" s="20" t="str"/>
      <x:c r="L15" s="20" t="str">
        <x:v>U+26B01</x:v>
      </x:c>
      <x:c r="M15" s="20" t="str">
        <x:v>CJK Unified Ideographs Extension B</x:v>
      </x:c>
      <x:c r="N15" s="20" t="str">
        <x:v>Unicode code point recorded</x:v>
      </x:c>
      <x:c r="O15" s="20" t="str">
        <x:v>Low</x:v>
      </x:c>
      <x:c r="P15" s="20" t="str">
        <x:v>Structured</x:v>
      </x:c>
      <x:c r="Q15" s="20" t="str">
        <x:v>1.1.014 | 26B01 / [UNUSED] | 𦬁𦬁 | 菜 / 蔡 | cài | 83DC [TGH 1] / “vegetables, greens; (non- / staple) food; dish, course” / 8521 [TGH 1] / an ancient state; a surname</x:v>
      </x:c>
      <x:c r="R15" s="20" t="str">
        <x:v>Uploaded: n2924-SecondStageSimplificationStatusv3.pdf</x:v>
      </x:c>
    </x:row>
    <x:row r="16">
      <x:c r="A16" s="20" t="str">
        <x:v>1.1.015</x:v>
      </x:c>
      <x:c r="B16" s="20" t="n">
        <x:v>4</x:v>
      </x:c>
      <x:c r="C16" s="20" t="str">
        <x:v>Part One</x:v>
      </x:c>
      <x:c r="D16" s="20" t="str">
        <x:v>1.1</x:v>
      </x:c>
      <x:c r="E16" s="20" t="str">
        <x:v>Part One — Individual Simplifications</x:v>
      </x:c>
      <x:c r="F16" s="20" t="str">
        <x:v>6B7A [UNUSED
H]</x:v>
      </x:c>
      <x:c r="G16" s="20" t="str">
        <x:v>歺</x:v>
      </x:c>
      <x:c r="H16" s="20" t="str">
        <x:v>餐</x:v>
      </x:c>
      <x:c r="I16" s="20" t="str">
        <x:v>cān</x:v>
      </x:c>
      <x:c r="J16" s="20" t="str">
        <x:v>9910 [TGH 1]
“eat; a meal; counter (for
meals)”</x:v>
      </x:c>
      <x:c r="K16" s="20" t="str"/>
      <x:c r="L16" s="20" t="str">
        <x:v>U+6B7A</x:v>
      </x:c>
      <x:c r="M16" s="20" t="str">
        <x:v>CJK Unified Ideographs</x:v>
      </x:c>
      <x:c r="N16" s="20" t="str">
        <x:v>Unicode code point recorded</x:v>
      </x:c>
      <x:c r="O16" s="20" t="str">
        <x:v>Low</x:v>
      </x:c>
      <x:c r="P16" s="20" t="str">
        <x:v>Structured</x:v>
      </x:c>
      <x:c r="Q16" s="20" t="str">
        <x:v>1.1.015 | 6B7A [UNUSED / H] | 歺 | 餐 | cān | 9910 [TGH 1] / “eat; a meal; counter (for / meals)”</x:v>
      </x:c>
      <x:c r="R16" s="20" t="str">
        <x:v>Uploaded: n2924-SecondStageSimplificationStatusv3.pdf</x:v>
      </x:c>
    </x:row>
    <x:row r="17">
      <x:c r="A17" s="20" t="str">
        <x:v>1.1.016</x:v>
      </x:c>
      <x:c r="B17" s="20" t="n">
        <x:v>4</x:v>
      </x:c>
      <x:c r="C17" s="20" t="str">
        <x:v>Part One</x:v>
      </x:c>
      <x:c r="D17" s="20" t="str">
        <x:v>1.1</x:v>
      </x:c>
      <x:c r="E17" s="20" t="str">
        <x:v>Part One — Individual Simplifications</x:v>
      </x:c>
      <x:c r="F17" s="20" t="str">
        <x:v>4ED3 [TGH 1]
“storehouse;
warehouse”</x:v>
      </x:c>
      <x:c r="G17" s="20" t="str">
        <x:v>仓</x:v>
      </x:c>
      <x:c r="H17" s="20" t="str">
        <x:v>舱</x:v>
      </x:c>
      <x:c r="I17" s="20" t="str">
        <x:v>cāng</x:v>
      </x:c>
      <x:c r="J17" s="20" t="str">
        <x:v>8231 [TGH 1]
“cabin (on a ship or
airplane); module”</x:v>
      </x:c>
      <x:c r="K17" s="20" t="str"/>
      <x:c r="L17" s="20" t="str">
        <x:v>U+4ED3</x:v>
      </x:c>
      <x:c r="M17" s="20" t="str">
        <x:v>CJK Unified Ideographs</x:v>
      </x:c>
      <x:c r="N17" s="20" t="str">
        <x:v>Unicode code point recorded</x:v>
      </x:c>
      <x:c r="O17" s="20" t="str">
        <x:v>Low</x:v>
      </x:c>
      <x:c r="P17" s="20" t="str">
        <x:v>Structured</x:v>
      </x:c>
      <x:c r="Q17" s="20" t="str">
        <x:v>1.1.016 | 4ED3 [TGH 1] / “storehouse; / warehouse” | 仓 | 舱 | cāng | 8231 [TGH 1] / “cabin (on a ship or / airplane); module”</x:v>
      </x:c>
      <x:c r="R17" s="20" t="str">
        <x:v>Uploaded: n2924-SecondStageSimplificationStatusv3.pdf</x:v>
      </x:c>
    </x:row>
    <x:row r="18">
      <x:c r="A18" s="20" t="str">
        <x:v>1.1.017</x:v>
      </x:c>
      <x:c r="B18" s="20" t="n">
        <x:v>5</x:v>
      </x:c>
      <x:c r="C18" s="20" t="str">
        <x:v>Part One</x:v>
      </x:c>
      <x:c r="D18" s="20" t="str">
        <x:v>1.1</x:v>
      </x:c>
      <x:c r="E18" s="20" t="str">
        <x:v>Part One — Individual Simplifications</x:v>
      </x:c>
      <x:c r="F18" s="20" t="str">
        <x:v>4499 [UNUSED]</x:v>
      </x:c>
      <x:c r="G18" s="20" t="str">
        <x:v>䒙</x:v>
      </x:c>
      <x:c r="H18" s="20" t="str">
        <x:v>藏</x:v>
      </x:c>
      <x:c r="I18" s="20" t="str">
        <x:v>cáng,
zàng</x:v>
      </x:c>
      <x:c r="J18" s="20" t="str">
        <x:v>85CF [TGH 1]
cáng
“hide, conceal; store, lay
by”
zàng
“storage place; scripture,
sutra, canon”</x:v>
      </x:c>
      <x:c r="K18" s="20" t="str"/>
      <x:c r="L18" s="20" t="str">
        <x:v>U+4499</x:v>
      </x:c>
      <x:c r="M18" s="20" t="str">
        <x:v>CJK Unified Ideographs Extension A</x:v>
      </x:c>
      <x:c r="N18" s="20" t="str">
        <x:v>Unicode code point recorded</x:v>
      </x:c>
      <x:c r="O18" s="20" t="str">
        <x:v>Low</x:v>
      </x:c>
      <x:c r="P18" s="20" t="str">
        <x:v>Structured</x:v>
      </x:c>
      <x:c r="Q18" s="20" t="str">
        <x:v>1.1.017 | 4499 [UNUSED] | 䒙 | 藏 | cáng, / zàng | 85CF [TGH 1] / cáng / “hide, conceal; store, lay / by” / zàng / “storage place; scripture, / sutra, canon”</x:v>
      </x:c>
      <x:c r="R18" s="20" t="str">
        <x:v>Uploaded: n2924-SecondStageSimplificationStatusv3.pdf</x:v>
      </x:c>
    </x:row>
    <x:row r="19">
      <x:c r="A19" s="20" t="str">
        <x:v>1.1.018</x:v>
      </x:c>
      <x:c r="B19" s="20" t="n">
        <x:v>5</x:v>
      </x:c>
      <x:c r="C19" s="20" t="str">
        <x:v>Part One</x:v>
      </x:c>
      <x:c r="D19" s="20" t="str">
        <x:v>1.1</x:v>
      </x:c>
      <x:c r="E19" s="20" t="str">
        <x:v>Part One — Individual Simplifications</x:v>
      </x:c>
      <x:c r="F19" s="20" t="str">
        <x:v>53C9 [TGH 1]
chā
“fork,
intersection;
cross, X”
chá
“obstruct, jam
up”
chǎ
“to fork/spread
(the legs), stand
with feet apart;
the distance
between the thumb
and the middle
finger”
chà
“fork, diverge”</x:v>
      </x:c>
      <x:c r="G19" s="20" t="str">
        <x:v>叉</x:v>
      </x:c>
      <x:c r="H19" s="20" t="str">
        <x:v>衩
扠
杈
汊</x:v>
      </x:c>
      <x:c r="I19" s="20" t="str">
        <x:v>chǎ,
chà
chā
chā,
chà
chà</x:v>
      </x:c>
      <x:c r="J19" s="20" t="str">
        <x:v>8869 [TGH 2]
chǎ
“crotch (of trousers)”
chà
“slit in sides of a
garment”
6260 [UNUSED HJMT]2
6748 [TGH 2]
chā
“branches, twigs;
pitchfork”
chà
“tree branch”
6C4A [TGH 2]
“branch of river”</x:v>
      </x:c>
      <x:c r="K19" s="20" t="str"/>
      <x:c r="L19" s="20" t="str">
        <x:v>U+53C9</x:v>
      </x:c>
      <x:c r="M19" s="20" t="str">
        <x:v>CJK Unified Ideographs</x:v>
      </x:c>
      <x:c r="N19" s="20" t="str">
        <x:v>Unicode code point recorded</x:v>
      </x:c>
      <x:c r="O19" s="20" t="str">
        <x:v>Low</x:v>
      </x:c>
      <x:c r="P19" s="20" t="str">
        <x:v>Structured</x:v>
      </x:c>
      <x:c r="Q19" s="20" t="str">
        <x:v>1.1.018 | 53C9 [TGH 1] / chā / “fork, / intersection; / cross, X” / chá / “obstruct, jam / up” / chǎ / “to fork/spread / (the legs), stand / with feet apart; / the distance / between the thumb / and the middle / finger” / chà / “fork, diverge” | 叉 | 衩 / 扠 / 杈 / 汊 | chǎ, / chà / chā / chā, / chà / chà | 8869 [TGH 2] / chǎ / “crotch (of trousers)” / chà / “slit in sides of a / garment” / 6260 [UNUSED HJMT]2 / 6748 [TGH 2] / chā / “branches, twigs; / pitchfork” / chà / “tree branch” / 6C4A [TGH 2] / “branch of river”</x:v>
      </x:c>
      <x:c r="R19" s="20" t="str">
        <x:v>Uploaded: n2924-SecondStageSimplificationStatusv3.pdf</x:v>
      </x:c>
    </x:row>
    <x:row r="20">
      <x:c r="A20" s="20" t="str">
        <x:v>1.1.019</x:v>
      </x:c>
      <x:c r="B20" s="20" t="n">
        <x:v>5</x:v>
      </x:c>
      <x:c r="C20" s="20" t="str">
        <x:v>Part One</x:v>
      </x:c>
      <x:c r="D20" s="20" t="str">
        <x:v>1.1</x:v>
      </x:c>
      <x:c r="E20" s="20" t="str">
        <x:v>Part One — Individual Simplifications</x:v>
      </x:c>
      <x:c r="F20" s="20" t="str">
        <x:v>22A83
[UNUSED]</x:v>
      </x:c>
      <x:c r="G20" s="20" t="str">
        <x:v>𢪃𢪃</x:v>
      </x:c>
      <x:c r="H20" s="20" t="str">
        <x:v>撤</x:v>
      </x:c>
      <x:c r="I20" s="20" t="str">
        <x:v>chè</x:v>
      </x:c>
      <x:c r="J20" s="20" t="str">
        <x:v>64A4 [TGH 1]
“remove, take away;
withdraw, evacuate”</x:v>
      </x:c>
      <x:c r="K20" s="20" t="str"/>
      <x:c r="L20" s="20" t="str">
        <x:v>U+22A83</x:v>
      </x:c>
      <x:c r="M20" s="20" t="str">
        <x:v>CJK Unified Ideographs Extension B</x:v>
      </x:c>
      <x:c r="N20" s="20" t="str">
        <x:v>Unicode code point recorded</x:v>
      </x:c>
      <x:c r="O20" s="20" t="str">
        <x:v>Low</x:v>
      </x:c>
      <x:c r="P20" s="20" t="str">
        <x:v>Structured</x:v>
      </x:c>
      <x:c r="Q20" s="20" t="str">
        <x:v>1.1.019 | 22A83 / [UNUSED] | 𢪃𢪃 | 撤 | chè | 64A4 [TGH 1] / “remove, take away; / withdraw, evacuate”</x:v>
      </x:c>
      <x:c r="R20" s="20" t="str">
        <x:v>Uploaded: n2924-SecondStageSimplificationStatusv3.pdf</x:v>
      </x:c>
    </x:row>
    <x:row r="21">
      <x:c r="A21" s="20" t="str">
        <x:v>1.1.020</x:v>
      </x:c>
      <x:c r="B21" s="20" t="n">
        <x:v>5</x:v>
      </x:c>
      <x:c r="C21" s="20" t="str">
        <x:v>Part One</x:v>
      </x:c>
      <x:c r="D21" s="20" t="str">
        <x:v>1.1</x:v>
      </x:c>
      <x:c r="E21" s="20" t="str">
        <x:v>Part One — Individual Simplifications</x:v>
      </x:c>
      <x:c r="F21" s="20" t="str">
        <x:v>25128
[UNUSED]</x:v>
      </x:c>
      <x:c r="G21" s="20" t="str">
        <x:v>𥄨𥄨</x:v>
      </x:c>
      <x:c r="H21" s="20" t="str">
        <x:v>瞅</x:v>
      </x:c>
      <x:c r="I21" s="20" t="str">
        <x:v>chǒu</x:v>
      </x:c>
      <x:c r="J21" s="20" t="str">
        <x:v>7785 [TGH 1]
“look at”</x:v>
      </x:c>
      <x:c r="K21" s="20" t="str"/>
      <x:c r="L21" s="20" t="str">
        <x:v>U+25128</x:v>
      </x:c>
      <x:c r="M21" s="20" t="str">
        <x:v>CJK Unified Ideographs Extension B</x:v>
      </x:c>
      <x:c r="N21" s="20" t="str">
        <x:v>Unicode code point recorded</x:v>
      </x:c>
      <x:c r="O21" s="20" t="str">
        <x:v>Low</x:v>
      </x:c>
      <x:c r="P21" s="20" t="str">
        <x:v>Structured</x:v>
      </x:c>
      <x:c r="Q21" s="20" t="str">
        <x:v>1.1.020 | 25128 / [UNUSED] | 𥄨𥄨 | 瞅 | chǒu | 7785 [TGH 1] / “look at”</x:v>
      </x:c>
      <x:c r="R21" s="20" t="str">
        <x:v>Uploaded: n2924-SecondStageSimplificationStatusv3.pdf</x:v>
      </x:c>
    </x:row>
    <x:row r="22">
      <x:c r="A22" s="20" t="str">
        <x:v>1.1.021</x:v>
      </x:c>
      <x:c r="B22" s="20" t="n">
        <x:v>5</x:v>
      </x:c>
      <x:c r="C22" s="20" t="str">
        <x:v>Part One</x:v>
      </x:c>
      <x:c r="D22" s="20" t="str">
        <x:v>1.1</x:v>
      </x:c>
      <x:c r="E22" s="20" t="str">
        <x:v>Part One — Individual Simplifications</x:v>
      </x:c>
      <x:c r="F22" s="20" t="str">
        <x:v>30179
(⿱⿱十⿴𠀃𠀃丨双)</x:v>
      </x:c>
      <x:c r="G22" s="20" t="str">
        <x:v>𰅹𰅹</x:v>
      </x:c>
      <x:c r="H22" s="20" t="str">
        <x:v>矗</x:v>
      </x:c>
      <x:c r="I22" s="20" t="str">
        <x:v>chù</x:v>
      </x:c>
      <x:c r="J22" s="20" t="str">
        <x:v>77D7 [TGH 1]
“upright”</x:v>
      </x:c>
      <x:c r="K22" s="20" t="str"/>
      <x:c r="L22" s="20" t="str">
        <x:v>U+30179</x:v>
      </x:c>
      <x:c r="M22" s="20" t="str">
        <x:v>CJK Unified Ideographs Extension G</x:v>
      </x:c>
      <x:c r="N22" s="20" t="str">
        <x:v>Encoded now — Extension G</x:v>
      </x:c>
      <x:c r="O22" s="20" t="str">
        <x:v>Low</x:v>
      </x:c>
      <x:c r="P22" s="20" t="str">
        <x:v>Structured</x:v>
      </x:c>
      <x:c r="Q22" s="20" t="str">
        <x:v>1.1.021 | 30179 / (⿱⿱十⿴𠀃𠀃丨双) | 𰅹𰅹 | 矗 | chù | 77D7 [TGH 1] / “upright”</x:v>
      </x:c>
      <x:c r="R22" s="20" t="str">
        <x:v>Uploaded: n2924-SecondStageSimplificationStatusv3.pdf</x:v>
      </x:c>
    </x:row>
    <x:row r="23">
      <x:c r="A23" s="20" t="str">
        <x:v>1.1.022</x:v>
      </x:c>
      <x:c r="B23" s="20" t="n">
        <x:v>5</x:v>
      </x:c>
      <x:c r="C23" s="20" t="str">
        <x:v>Part One</x:v>
      </x:c>
      <x:c r="D23" s="20" t="str">
        <x:v>1.1</x:v>
      </x:c>
      <x:c r="E23" s="20" t="str">
        <x:v>Part One — Individual Simplifications</x:v>
      </x:c>
      <x:c r="F23" s="20" t="str">
        <x:v>8310 [UNUSED]</x:v>
      </x:c>
      <x:c r="G23" s="20" t="str">
        <x:v>茐</x:v>
      </x:c>
      <x:c r="H23" s="20" t="str">
        <x:v>葱</x:v>
      </x:c>
      <x:c r="I23" s="20" t="str">
        <x:v>cōng</x:v>
      </x:c>
      <x:c r="J23" s="20" t="str">
        <x:v>8471 [TGH 1]
“scallion, green onion;
onion; green”</x:v>
      </x:c>
      <x:c r="K23" s="20" t="str"/>
      <x:c r="L23" s="20" t="str">
        <x:v>U+8310</x:v>
      </x:c>
      <x:c r="M23" s="20" t="str">
        <x:v>CJK Unified Ideographs</x:v>
      </x:c>
      <x:c r="N23" s="20" t="str">
        <x:v>Unicode code point recorded</x:v>
      </x:c>
      <x:c r="O23" s="20" t="str">
        <x:v>Low</x:v>
      </x:c>
      <x:c r="P23" s="20" t="str">
        <x:v>Structured</x:v>
      </x:c>
      <x:c r="Q23" s="20" t="str">
        <x:v>1.1.022 | 8310 [UNUSED] | 茐 | 葱 | cōng | 8471 [TGH 1] / “scallion, green onion; / onion; green”</x:v>
      </x:c>
      <x:c r="R23" s="20" t="str">
        <x:v>Uploaded: n2924-SecondStageSimplificationStatusv3.pdf</x:v>
      </x:c>
    </x:row>
    <x:row r="24">
      <x:c r="A24" s="20" t="str">
        <x:v>1.1.023</x:v>
      </x:c>
      <x:c r="B24" s="20" t="n">
        <x:v>5</x:v>
      </x:c>
      <x:c r="C24" s="20" t="str">
        <x:v>Part One</x:v>
      </x:c>
      <x:c r="D24" s="20" t="str">
        <x:v>1.1</x:v>
      </x:c>
      <x:c r="E24" s="20" t="str">
        <x:v>Part One — Individual Simplifications</x:v>
      </x:c>
      <x:c r="F24" s="20" t="str">
        <x:v>8345 [UNUSED
HJMT]</x:v>
      </x:c>
      <x:c r="G24" s="20" t="str">
        <x:v>荅</x:v>
      </x:c>
      <x:c r="H24" s="20" t="str">
        <x:v>答</x:v>
      </x:c>
      <x:c r="I24" s="20" t="str">
        <x:v>dā, dá</x:v>
      </x:c>
      <x:c r="J24" s="20" t="str">
        <x:v>7B54 [TGH 1]
dā
“reply, agree to; heed”
dá</x:v>
      </x:c>
      <x:c r="K24" s="20" t="str"/>
      <x:c r="L24" s="20" t="str">
        <x:v>U+8345</x:v>
      </x:c>
      <x:c r="M24" s="20" t="str">
        <x:v>CJK Unified Ideographs</x:v>
      </x:c>
      <x:c r="N24" s="20" t="str">
        <x:v>Unicode code point recorded</x:v>
      </x:c>
      <x:c r="O24" s="20" t="str">
        <x:v>Low</x:v>
      </x:c>
      <x:c r="P24" s="20" t="str">
        <x:v>Structured</x:v>
      </x:c>
      <x:c r="Q24" s="20" t="str">
        <x:v>1.1.023 | 8345 [UNUSED / HJMT] | 荅 | 答 | dā, dá | 7B54 [TGH 1] / dā / “reply, agree to; heed” / dá</x:v>
      </x:c>
      <x:c r="R24" s="20" t="str">
        <x:v>Uploaded: n2924-SecondStageSimplificationStatusv3.pdf</x:v>
      </x:c>
    </x:row>
    <x:row r="25">
      <x:c r="A25" s="20" t="str">
        <x:v>1.1.024</x:v>
      </x:c>
      <x:c r="B25" s="20" t="n">
        <x:v>6</x:v>
      </x:c>
      <x:c r="C25" s="20" t="str">
        <x:v>Part One</x:v>
      </x:c>
      <x:c r="D25" s="20" t="str">
        <x:v>1.1</x:v>
      </x:c>
      <x:c r="E25" s="20" t="str">
        <x:v>Part One — Individual Simplifications</x:v>
      </x:c>
      <x:c r="F25" s="20" t="str">
        <x:v>65E6 [TGH 1]
“dawn, daybreak;
day, morning;
female role”</x:v>
      </x:c>
      <x:c r="G25" s="20" t="str">
        <x:v>旦</x:v>
      </x:c>
      <x:c r="H25" s="20" t="str">
        <x:v>蛋</x:v>
      </x:c>
      <x:c r="I25" s="20" t="str">
        <x:v>dàn</x:v>
      </x:c>
      <x:c r="J25" s="20" t="str">
        <x:v>86CB [TGH 1]
“egg; egg-shaped”</x:v>
      </x:c>
      <x:c r="K25" s="20" t="str"/>
      <x:c r="L25" s="20" t="str">
        <x:v>U+65E6</x:v>
      </x:c>
      <x:c r="M25" s="20" t="str">
        <x:v>CJK Unified Ideographs</x:v>
      </x:c>
      <x:c r="N25" s="20" t="str">
        <x:v>Unicode code point recorded</x:v>
      </x:c>
      <x:c r="O25" s="20" t="str">
        <x:v>Low</x:v>
      </x:c>
      <x:c r="P25" s="20" t="str">
        <x:v>Structured</x:v>
      </x:c>
      <x:c r="Q25" s="20" t="str">
        <x:v>1.1.024 | 65E6 [TGH 1] / “dawn, daybreak; / day, morning; / female role” | 旦 | 蛋 | dàn | 86CB [TGH 1] / “egg; egg-shaped”</x:v>
      </x:c>
      <x:c r="R25" s="20" t="str">
        <x:v>Uploaded: n2924-SecondStageSimplificationStatusv3.pdf</x:v>
      </x:c>
    </x:row>
    <x:row r="26">
      <x:c r="A26" s="20" t="str">
        <x:v>1.1.025</x:v>
      </x:c>
      <x:c r="B26" s="20" t="n">
        <x:v>6</x:v>
      </x:c>
      <x:c r="C26" s="20" t="str">
        <x:v>Part One</x:v>
      </x:c>
      <x:c r="D26" s="20" t="str">
        <x:v>1.1</x:v>
      </x:c>
      <x:c r="E26" s="20" t="str">
        <x:v>Part One — Individual Simplifications</x:v>
      </x:c>
      <x:c r="F26" s="20" t="str">
        <x:v>30414
(⿰弓旦)</x:v>
      </x:c>
      <x:c r="G26" s="20" t="str">
        <x:v>𰐔𰐔</x:v>
      </x:c>
      <x:c r="H26" s="20" t="str">
        <x:v>弹</x:v>
      </x:c>
      <x:c r="I26" s="20" t="str">
        <x:v>dàn,
tán</x:v>
      </x:c>
      <x:c r="J26" s="20" t="str">
        <x:v>5F39 [TGH 1]
dàn
“pellet, ball; bullet;
bomb”
tán
“catapult, shoot; flick,
flip, fluff; pluck/play (a
musical instrument);
accuse, impeach; resilient,
flexible”</x:v>
      </x:c>
      <x:c r="K26" s="20" t="str"/>
      <x:c r="L26" s="20" t="str">
        <x:v>U+30414</x:v>
      </x:c>
      <x:c r="M26" s="20" t="str">
        <x:v>CJK Unified Ideographs Extension G</x:v>
      </x:c>
      <x:c r="N26" s="20" t="str">
        <x:v>Encoded now — Extension G</x:v>
      </x:c>
      <x:c r="O26" s="20" t="str">
        <x:v>Low</x:v>
      </x:c>
      <x:c r="P26" s="20" t="str">
        <x:v>Structured</x:v>
      </x:c>
      <x:c r="Q26" s="20" t="str">
        <x:v>1.1.025 | 30414 / (⿰弓旦) | 𰐔𰐔 | 弹 | dàn, / tán | 5F39 [TGH 1] / dàn / “pellet, ball; bullet; / bomb” / tán / “catapult, shoot; flick, / flip, fluff; pluck/play (a / musical instrument); / accuse, impeach; resilient, / flexible”</x:v>
      </x:c>
      <x:c r="R26" s="20" t="str">
        <x:v>Uploaded: n2924-SecondStageSimplificationStatusv3.pdf</x:v>
      </x:c>
    </x:row>
    <x:row r="27">
      <x:c r="A27" s="20" t="str">
        <x:v>1.1.026</x:v>
      </x:c>
      <x:c r="B27" s="20" t="n">
        <x:v>6</x:v>
      </x:c>
      <x:c r="C27" s="20" t="str">
        <x:v>Part One</x:v>
      </x:c>
      <x:c r="D27" s="20" t="str">
        <x:v>1.1</x:v>
      </x:c>
      <x:c r="E27" s="20" t="str">
        <x:v>Part One — Individual Simplifications</x:v>
      </x:c>
      <x:c r="F27" s="20" t="str">
        <x:v>30E01
(⿰𧾷𧾷刀)</x:v>
      </x:c>
      <x:c r="G27" s="20" t="str">
        <x:v>𰸁𰸁</x:v>
      </x:c>
      <x:c r="H27" s="20" t="str">
        <x:v>蹈</x:v>
      </x:c>
      <x:c r="I27" s="20" t="str">
        <x:v>dǎo</x:v>
      </x:c>
      <x:c r="J27" s="20" t="str">
        <x:v>8E48 [TGH 1]
“tread, stamp the feet;
skip, trip; follow; dance”</x:v>
      </x:c>
      <x:c r="K27" s="20" t="str"/>
      <x:c r="L27" s="20" t="str">
        <x:v>U+30E01</x:v>
      </x:c>
      <x:c r="M27" s="20" t="str">
        <x:v>CJK Unified Ideographs Extension G</x:v>
      </x:c>
      <x:c r="N27" s="20" t="str">
        <x:v>Encoded now — Extension G</x:v>
      </x:c>
      <x:c r="O27" s="20" t="str">
        <x:v>Low</x:v>
      </x:c>
      <x:c r="P27" s="20" t="str">
        <x:v>Structured</x:v>
      </x:c>
      <x:c r="Q27" s="20" t="str">
        <x:v>1.1.026 | 30E01 / (⿰𧾷𧾷刀) | 𰸁𰸁 | 蹈 | dǎo | 8E48 [TGH 1] / “tread, stamp the feet; / skip, trip; follow; dance”</x:v>
      </x:c>
      <x:c r="R27" s="20" t="str">
        <x:v>Uploaded: n2924-SecondStageSimplificationStatusv3.pdf</x:v>
      </x:c>
    </x:row>
    <x:row r="28">
      <x:c r="A28" s="20" t="str">
        <x:v>1.1.027</x:v>
      </x:c>
      <x:c r="B28" s="20" t="n">
        <x:v>6</x:v>
      </x:c>
      <x:c r="C28" s="20" t="str">
        <x:v>Part One</x:v>
      </x:c>
      <x:c r="D28" s="20" t="str">
        <x:v>1.1</x:v>
      </x:c>
      <x:c r="E28" s="20" t="str">
        <x:v>Part One — Individual Simplifications</x:v>
      </x:c>
      <x:c r="F28" s="20" t="str">
        <x:v>30A1B
(⿰禾刀)</x:v>
      </x:c>
      <x:c r="G28" s="20" t="str">
        <x:v>𰨛𰨛</x:v>
      </x:c>
      <x:c r="H28" s="20" t="str">
        <x:v>稻</x:v>
      </x:c>
      <x:c r="I28" s="20" t="str">
        <x:v>dào</x:v>
      </x:c>
      <x:c r="J28" s="20" t="str">
        <x:v>7A3B [TGH 1]
“paddy, rice”</x:v>
      </x:c>
      <x:c r="K28" s="20" t="str"/>
      <x:c r="L28" s="20" t="str">
        <x:v>U+30A1B</x:v>
      </x:c>
      <x:c r="M28" s="20" t="str">
        <x:v>CJK Unified Ideographs Extension G</x:v>
      </x:c>
      <x:c r="N28" s="20" t="str">
        <x:v>Encoded now — Extension G</x:v>
      </x:c>
      <x:c r="O28" s="20" t="str">
        <x:v>Low</x:v>
      </x:c>
      <x:c r="P28" s="20" t="str">
        <x:v>Structured</x:v>
      </x:c>
      <x:c r="Q28" s="20" t="str">
        <x:v>1.1.027 | 30A1B / (⿰禾刀) | 𰨛𰨛 | 稻 | dào | 7A3B [TGH 1] / “paddy, rice”</x:v>
      </x:c>
      <x:c r="R28" s="20" t="str">
        <x:v>Uploaded: n2924-SecondStageSimplificationStatusv3.pdf</x:v>
      </x:c>
    </x:row>
    <x:row r="29">
      <x:c r="A29" s="20" t="str">
        <x:v>1.1.028</x:v>
      </x:c>
      <x:c r="B29" s="20" t="n">
        <x:v>6</x:v>
      </x:c>
      <x:c r="C29" s="20" t="str">
        <x:v>Part One</x:v>
      </x:c>
      <x:c r="D29" s="20" t="str">
        <x:v>1.1</x:v>
      </x:c>
      <x:c r="E29" s="20" t="str">
        <x:v>Part One — Individual Simplifications</x:v>
      </x:c>
      <x:c r="F29" s="20" t="str">
        <x:v>8FBA [UNUSED
HJ]</x:v>
      </x:c>
      <x:c r="G29" s="20" t="str">
        <x:v>辺</x:v>
      </x:c>
      <x:c r="H29" s="20" t="str">
        <x:v>道</x:v>
      </x:c>
      <x:c r="I29" s="20" t="str">
        <x:v>dào</x:v>
      </x:c>
      <x:c r="J29" s="20" t="str">
        <x:v>9053 [TGH 1]
“road, path”</x:v>
      </x:c>
      <x:c r="K29" s="20" t="str"/>
      <x:c r="L29" s="20" t="str">
        <x:v>U+8FBA</x:v>
      </x:c>
      <x:c r="M29" s="20" t="str">
        <x:v>CJK Unified Ideographs</x:v>
      </x:c>
      <x:c r="N29" s="20" t="str">
        <x:v>Unicode code point recorded</x:v>
      </x:c>
      <x:c r="O29" s="20" t="str">
        <x:v>Low</x:v>
      </x:c>
      <x:c r="P29" s="20" t="str">
        <x:v>Structured</x:v>
      </x:c>
      <x:c r="Q29" s="20" t="str">
        <x:v>1.1.028 | 8FBA [UNUSED / HJ] | 辺 | 道 | dào | 9053 [TGH 1] / “road, path”</x:v>
      </x:c>
      <x:c r="R29" s="20" t="str">
        <x:v>Uploaded: n2924-SecondStageSimplificationStatusv3.pdf</x:v>
      </x:c>
    </x:row>
    <x:row r="30">
      <x:c r="A30" s="20" t="str">
        <x:v>1.1.029</x:v>
      </x:c>
      <x:c r="B30" s="20" t="n">
        <x:v>6</x:v>
      </x:c>
      <x:c r="C30" s="20" t="str">
        <x:v>Part One</x:v>
      </x:c>
      <x:c r="D30" s="20" t="str">
        <x:v>1.1</x:v>
      </x:c>
      <x:c r="E30" s="20" t="str">
        <x:v>Part One — Individual Simplifications</x:v>
      </x:c>
      <x:c r="F30" s="20" t="str">
        <x:v>21C52
[UNUSED]</x:v>
      </x:c>
      <x:c r="G30" s="20" t="str">
        <x:v>𡱒𡱒</x:v>
      </x:c>
      <x:c r="H30" s="20" t="str">
        <x:v>殿</x:v>
      </x:c>
      <x:c r="I30" s="20" t="str">
        <x:v>diàn</x:v>
      </x:c>
      <x:c r="J30" s="20" t="str">
        <x:v>6BBF [TGH 1]
“hall, palace, temple; the
rear”</x:v>
      </x:c>
      <x:c r="K30" s="20" t="str"/>
      <x:c r="L30" s="20" t="str">
        <x:v>U+21C52</x:v>
      </x:c>
      <x:c r="M30" s="20" t="str">
        <x:v>CJK Unified Ideographs Extension B</x:v>
      </x:c>
      <x:c r="N30" s="20" t="str">
        <x:v>Unicode code point recorded</x:v>
      </x:c>
      <x:c r="O30" s="20" t="str">
        <x:v>Low</x:v>
      </x:c>
      <x:c r="P30" s="20" t="str">
        <x:v>Structured</x:v>
      </x:c>
      <x:c r="Q30" s="20" t="str">
        <x:v>1.1.029 | 21C52 / [UNUSED] | 𡱒𡱒 | 殿 | diàn | 6BBF [TGH 1] / “hall, palace, temple; the / rear”</x:v>
      </x:c>
      <x:c r="R30" s="20" t="str">
        <x:v>Uploaded: n2924-SecondStageSimplificationStatusv3.pdf</x:v>
      </x:c>
    </x:row>
    <x:row r="31">
      <x:c r="A31" s="20" t="str">
        <x:v>1.1.030</x:v>
      </x:c>
      <x:c r="B31" s="20" t="n">
        <x:v>6</x:v>
      </x:c>
      <x:c r="C31" s="20" t="str">
        <x:v>Part One</x:v>
      </x:c>
      <x:c r="D31" s="20" t="str">
        <x:v>1.1</x:v>
      </x:c>
      <x:c r="E31" s="20" t="str">
        <x:v>Part One — Individual Simplifications</x:v>
      </x:c>
      <x:c r="F31" s="20" t="str">
        <x:v>4E01 [TGH 1]
dīng
“4th Heavenly
Stem; fourth;
cubes (in food
preparation);
man; population”</x:v>
      </x:c>
      <x:c r="G31" s="20" t="str">
        <x:v>丁</x:v>
      </x:c>
      <x:c r="H31" s="20" t="str">
        <x:v>叮
盯
钉
靪</x:v>
      </x:c>
      <x:c r="I31" s="20" t="str">
        <x:v>dīng
dīng
dīng,
dìng
dīng</x:v>
      </x:c>
      <x:c r="J31" s="20" t="str">
        <x:v>53EE [TGH 1]
“sting, bite; say/ask
repeatedly”
76EF [TGH 1]
“gaze/stare at”
9489 [TGH 1]
dīng
“nail, tack; follow
closely, tail; urge, press;
gaze at”
dìng
“nail; sew on”
976A [UNUSED HMT]3</x:v>
      </x:c>
      <x:c r="K31" s="20" t="str"/>
      <x:c r="L31" s="20" t="str">
        <x:v>U+4E01</x:v>
      </x:c>
      <x:c r="M31" s="20" t="str">
        <x:v>CJK Unified Ideographs</x:v>
      </x:c>
      <x:c r="N31" s="20" t="str">
        <x:v>Unicode code point recorded</x:v>
      </x:c>
      <x:c r="O31" s="20" t="str">
        <x:v>Low</x:v>
      </x:c>
      <x:c r="P31" s="20" t="str">
        <x:v>Structured</x:v>
      </x:c>
      <x:c r="Q31" s="20" t="str">
        <x:v>1.1.030 | 4E01 [TGH 1] / dīng / “4th Heavenly / Stem; fourth; / cubes (in food / preparation); / man; population” | 丁 | 叮 / 盯 / 钉 / 靪 | dīng / dīng / dīng, / dìng / dīng | 53EE [TGH 1] / “sting, bite; say/ask / repeatedly” / 76EF [TGH 1] / “gaze/stare at” / 9489 [TGH 1] / dīng / “nail, tack; follow / closely, tail; urge, press; / gaze at” / dìng / “nail; sew on” / 976A [UNUSED HMT]3</x:v>
      </x:c>
      <x:c r="R31" s="20" t="str">
        <x:v>Uploaded: n2924-SecondStageSimplificationStatusv3.pdf</x:v>
      </x:c>
    </x:row>
    <x:row r="32">
      <x:c r="A32" s="20" t="str">
        <x:v>1.1.031</x:v>
      </x:c>
      <x:c r="B32" s="20" t="n">
        <x:v>7</x:v>
      </x:c>
      <x:c r="C32" s="20" t="str">
        <x:v>Part One</x:v>
      </x:c>
      <x:c r="D32" s="20" t="str">
        <x:v>1.1</x:v>
      </x:c>
      <x:c r="E32" s="20" t="str">
        <x:v>Part One — Individual Simplifications</x:v>
      </x:c>
      <x:c r="F32" s="20" t="str">
        <x:v>82F3 [UNUSED
HJMT]</x:v>
      </x:c>
      <x:c r="G32" s="20" t="str">
        <x:v>苳</x:v>
      </x:c>
      <x:c r="H32" s="20" t="str">
        <x:v>董</x:v>
      </x:c>
      <x:c r="I32" s="20" t="str">
        <x:v>dǒng</x:v>
      </x:c>
      <x:c r="J32" s="20" t="str">
        <x:v>8463 [TGH 1]
“supervision, management;
board member”</x:v>
      </x:c>
      <x:c r="K32" s="20" t="str"/>
      <x:c r="L32" s="20" t="str">
        <x:v>U+82F3</x:v>
      </x:c>
      <x:c r="M32" s="20" t="str">
        <x:v>CJK Unified Ideographs</x:v>
      </x:c>
      <x:c r="N32" s="20" t="str">
        <x:v>Unicode code point recorded</x:v>
      </x:c>
      <x:c r="O32" s="20" t="str">
        <x:v>Low</x:v>
      </x:c>
      <x:c r="P32" s="20" t="str">
        <x:v>Structured</x:v>
      </x:c>
      <x:c r="Q32" s="20" t="str">
        <x:v>1.1.031 | 82F3 [UNUSED / HJMT] | 苳 | 董 | dǒng | 8463 [TGH 1] / “supervision, management; / board member”</x:v>
      </x:c>
      <x:c r="R32" s="20" t="str">
        <x:v>Uploaded: n2924-SecondStageSimplificationStatusv3.pdf</x:v>
      </x:c>
    </x:row>
    <x:row r="33">
      <x:c r="A33" s="20" t="str">
        <x:v>1.1.032</x:v>
      </x:c>
      <x:c r="B33" s="20" t="n">
        <x:v>7</x:v>
      </x:c>
      <x:c r="C33" s="20" t="str">
        <x:v>Part One</x:v>
      </x:c>
      <x:c r="D33" s="20" t="str">
        <x:v>1.1</x:v>
      </x:c>
      <x:c r="E33" s="20" t="str">
        <x:v>Part One — Individual Simplifications</x:v>
      </x:c>
      <x:c r="F33" s="20" t="str">
        <x:v>390F [UNUSED]</x:v>
      </x:c>
      <x:c r="G33" s="20" t="str">
        <x:v>㤏</x:v>
      </x:c>
      <x:c r="H33" s="20" t="str">
        <x:v>懂</x:v>
      </x:c>
      <x:c r="I33" s="20" t="str">
        <x:v>dǒng</x:v>
      </x:c>
      <x:c r="J33" s="20" t="str">
        <x:v>61C2 [TGH 1]
“understand, know”</x:v>
      </x:c>
      <x:c r="K33" s="20" t="str"/>
      <x:c r="L33" s="20" t="str">
        <x:v>U+390F</x:v>
      </x:c>
      <x:c r="M33" s="20" t="str">
        <x:v>CJK Unified Ideographs Extension A</x:v>
      </x:c>
      <x:c r="N33" s="20" t="str">
        <x:v>Unicode code point recorded</x:v>
      </x:c>
      <x:c r="O33" s="20" t="str">
        <x:v>Low</x:v>
      </x:c>
      <x:c r="P33" s="20" t="str">
        <x:v>Structured</x:v>
      </x:c>
      <x:c r="Q33" s="20" t="str">
        <x:v>1.1.032 | 390F [UNUSED] | 㤏 | 懂 | dǒng | 61C2 [TGH 1] / “understand, know”</x:v>
      </x:c>
      <x:c r="R33" s="20" t="str">
        <x:v>Uploaded: n2924-SecondStageSimplificationStatusv3.pdf</x:v>
      </x:c>
    </x:row>
    <x:row r="34">
      <x:c r="A34" s="20" t="str">
        <x:v>1.1.033</x:v>
      </x:c>
      <x:c r="B34" s="20" t="n">
        <x:v>7</x:v>
      </x:c>
      <x:c r="C34" s="20" t="str">
        <x:v>Part One</x:v>
      </x:c>
      <x:c r="D34" s="20" t="str">
        <x:v>1.1</x:v>
      </x:c>
      <x:c r="E34" s="20" t="str">
        <x:v>Part One — Individual Simplifications</x:v>
      </x:c>
      <x:c r="F34" s="20" t="str">
        <x:v>30993
(⿰矢卜)</x:v>
      </x:c>
      <x:c r="G34" s="20" t="str">
        <x:v>𰦓𰦓</x:v>
      </x:c>
      <x:c r="H34" s="20" t="str">
        <x:v>短</x:v>
      </x:c>
      <x:c r="I34" s="20" t="str">
        <x:v>duǎn</x:v>
      </x:c>
      <x:c r="J34" s="20" t="str">
        <x:v>77ED [TGH 1]
“short, brief; lack, owe;
weak point”</x:v>
      </x:c>
      <x:c r="K34" s="20" t="str"/>
      <x:c r="L34" s="20" t="str">
        <x:v>U+30993</x:v>
      </x:c>
      <x:c r="M34" s="20" t="str">
        <x:v>CJK Unified Ideographs Extension G</x:v>
      </x:c>
      <x:c r="N34" s="20" t="str">
        <x:v>Encoded now — Extension G</x:v>
      </x:c>
      <x:c r="O34" s="20" t="str">
        <x:v>Low</x:v>
      </x:c>
      <x:c r="P34" s="20" t="str">
        <x:v>Structured</x:v>
      </x:c>
      <x:c r="Q34" s="20" t="str">
        <x:v>1.1.033 | 30993 / (⿰矢卜) | 𰦓𰦓 | 短 | duǎn | 77ED [TGH 1] / “short, brief; lack, owe; / weak point”</x:v>
      </x:c>
      <x:c r="R34" s="20" t="str">
        <x:v>Uploaded: n2924-SecondStageSimplificationStatusv3.pdf</x:v>
      </x:c>
    </x:row>
    <x:row r="35">
      <x:c r="A35" s="20" t="str">
        <x:v>1.1.034</x:v>
      </x:c>
      <x:c r="B35" s="20" t="n">
        <x:v>7</x:v>
      </x:c>
      <x:c r="C35" s="20" t="str">
        <x:v>Part One</x:v>
      </x:c>
      <x:c r="D35" s="20" t="str">
        <x:v>1.1</x:v>
      </x:c>
      <x:c r="E35" s="20" t="str">
        <x:v>Part One — Individual Simplifications</x:v>
      </x:c>
      <x:c r="F35" s="20" t="str">
        <x:v>27FEC
[UNUSED]</x:v>
      </x:c>
      <x:c r="G35" s="20" t="str">
        <x:v>𧿬𧿬</x:v>
      </x:c>
      <x:c r="H35" s="20" t="str">
        <x:v>蹲</x:v>
      </x:c>
      <x:c r="I35" s="20" t="str">
        <x:v>dūn</x:v>
      </x:c>
      <x:c r="J35" s="20" t="str">
        <x:v>8E72 [TGH 1]
“squat on the heels; stay”</x:v>
      </x:c>
      <x:c r="K35" s="20" t="str"/>
      <x:c r="L35" s="20" t="str">
        <x:v>U+27FEC</x:v>
      </x:c>
      <x:c r="M35" s="20" t="str">
        <x:v>CJK Unified Ideographs Extension B</x:v>
      </x:c>
      <x:c r="N35" s="20" t="str">
        <x:v>Unicode code point recorded</x:v>
      </x:c>
      <x:c r="O35" s="20" t="str">
        <x:v>Low</x:v>
      </x:c>
      <x:c r="P35" s="20" t="str">
        <x:v>Structured</x:v>
      </x:c>
      <x:c r="Q35" s="20" t="str">
        <x:v>1.1.034 | 27FEC / [UNUSED] | 𧿬𧿬 | 蹲 | dūn | 8E72 [TGH 1] / “squat on the heels; stay”</x:v>
      </x:c>
      <x:c r="R35" s="20" t="str">
        <x:v>Uploaded: n2924-SecondStageSimplificationStatusv3.pdf</x:v>
      </x:c>
    </x:row>
    <x:row r="36">
      <x:c r="A36" s="20" t="str">
        <x:v>1.1.035</x:v>
      </x:c>
      <x:c r="B36" s="20" t="n">
        <x:v>7</x:v>
      </x:c>
      <x:c r="C36" s="20" t="str">
        <x:v>Part One</x:v>
      </x:c>
      <x:c r="D36" s="20" t="str">
        <x:v>1.1</x:v>
      </x:c>
      <x:c r="E36" s="20" t="str">
        <x:v>Part One — Individual Simplifications</x:v>
      </x:c>
      <x:c r="F36" s="20" t="str">
        <x:v>7096 [TGH 2]
“stew”</x:v>
      </x:c>
      <x:c r="G36" s="20" t="str">
        <x:v>炖</x:v>
      </x:c>
      <x:c r="H36" s="20" t="str">
        <x:v>燉</x:v>
      </x:c>
      <x:c r="I36" s="20" t="str">
        <x:v>dùn</x:v>
      </x:c>
      <x:c r="J36" s="20" t="str">
        <x:v>71C9 [UNUSED HJKMPT]4</x:v>
      </x:c>
      <x:c r="K36" s="20" t="str"/>
      <x:c r="L36" s="20" t="str">
        <x:v>U+7096</x:v>
      </x:c>
      <x:c r="M36" s="20" t="str">
        <x:v>CJK Unified Ideographs</x:v>
      </x:c>
      <x:c r="N36" s="20" t="str">
        <x:v>Unicode code point recorded</x:v>
      </x:c>
      <x:c r="O36" s="20" t="str">
        <x:v>Low</x:v>
      </x:c>
      <x:c r="P36" s="20" t="str">
        <x:v>Structured</x:v>
      </x:c>
      <x:c r="Q36" s="20" t="str">
        <x:v>1.1.035 | 7096 [TGH 2] / “stew” | 炖 | 燉 | dùn | 71C9 [UNUSED HJKMPT]4</x:v>
      </x:c>
      <x:c r="R36" s="20" t="str">
        <x:v>Uploaded: n2924-SecondStageSimplificationStatusv3.pdf</x:v>
      </x:c>
    </x:row>
    <x:row r="37">
      <x:c r="A37" s="20" t="str">
        <x:v>1.1.036</x:v>
      </x:c>
      <x:c r="B37" s="20" t="n">
        <x:v>7</x:v>
      </x:c>
      <x:c r="C37" s="20" t="str">
        <x:v>Part One</x:v>
      </x:c>
      <x:c r="D37" s="20" t="str">
        <x:v>1.1</x:v>
      </x:c>
      <x:c r="E37" s="20" t="str">
        <x:v>Part One — Individual Simplifications</x:v>
      </x:c>
      <x:c r="F37" s="20" t="str">
        <x:v>5F0D [UNUSED
HJ]</x:v>
      </x:c>
      <x:c r="G37" s="20" t="str">
        <x:v>弍</x:v>
      </x:c>
      <x:c r="H37" s="20" t="str">
        <x:v>贰</x:v>
      </x:c>
      <x:c r="I37" s="20" t="str">
        <x:v>èr</x:v>
      </x:c>
      <x:c r="J37" s="20" t="str">
        <x:v>8D30 [TGH 1]
“2 (accounting form)”</x:v>
      </x:c>
      <x:c r="K37" s="20" t="str"/>
      <x:c r="L37" s="20" t="str">
        <x:v>U+5F0D</x:v>
      </x:c>
      <x:c r="M37" s="20" t="str">
        <x:v>CJK Unified Ideographs</x:v>
      </x:c>
      <x:c r="N37" s="20" t="str">
        <x:v>Unicode code point recorded</x:v>
      </x:c>
      <x:c r="O37" s="20" t="str">
        <x:v>Low</x:v>
      </x:c>
      <x:c r="P37" s="20" t="str">
        <x:v>Structured</x:v>
      </x:c>
      <x:c r="Q37" s="20" t="str">
        <x:v>1.1.036 | 5F0D [UNUSED / HJ] | 弍 | 贰 | èr | 8D30 [TGH 1] / “2 (accounting form)”</x:v>
      </x:c>
      <x:c r="R37" s="20" t="str">
        <x:v>Uploaded: n2924-SecondStageSimplificationStatusv3.pdf</x:v>
      </x:c>
    </x:row>
    <x:row r="38">
      <x:c r="A38" s="20" t="str">
        <x:v>1.1.037</x:v>
      </x:c>
      <x:c r="B38" s="20" t="n">
        <x:v>7</x:v>
      </x:c>
      <x:c r="C38" s="20" t="str">
        <x:v>Part One</x:v>
      </x:c>
      <x:c r="D38" s="20" t="str">
        <x:v>1.1</x:v>
      </x:c>
      <x:c r="E38" s="20" t="str">
        <x:v>Part One — Individual Simplifications</x:v>
      </x:c>
      <x:c r="F38" s="20" t="str">
        <x:v>5FFF [TGH 1]
“angry”</x:v>
      </x:c>
      <x:c r="G38" s="20" t="str">
        <x:v>忿</x:v>
      </x:c>
      <x:c r="H38" s="20" t="str">
        <x:v>愤</x:v>
      </x:c>
      <x:c r="I38" s="20" t="str">
        <x:v>fèn</x:v>
      </x:c>
      <x:c r="J38" s="20" t="str">
        <x:v>6124 [TGH 1]
“angry”</x:v>
      </x:c>
      <x:c r="K38" s="20" t="str"/>
      <x:c r="L38" s="20" t="str">
        <x:v>U+5FFF</x:v>
      </x:c>
      <x:c r="M38" s="20" t="str">
        <x:v>CJK Unified Ideographs</x:v>
      </x:c>
      <x:c r="N38" s="20" t="str">
        <x:v>Unicode code point recorded</x:v>
      </x:c>
      <x:c r="O38" s="20" t="str">
        <x:v>Low</x:v>
      </x:c>
      <x:c r="P38" s="20" t="str">
        <x:v>Structured</x:v>
      </x:c>
      <x:c r="Q38" s="20" t="str">
        <x:v>1.1.037 | 5FFF [TGH 1] / “angry” | 忿 | 愤 | fèn | 6124 [TGH 1] / “angry”</x:v>
      </x:c>
      <x:c r="R38" s="20" t="str">
        <x:v>Uploaded: n2924-SecondStageSimplificationStatusv3.pdf</x:v>
      </x:c>
    </x:row>
    <x:row r="39">
      <x:c r="A39" s="20" t="str">
        <x:v>1.1.038</x:v>
      </x:c>
      <x:c r="B39" s="20" t="n">
        <x:v>7</x:v>
      </x:c>
      <x:c r="C39" s="20" t="str">
        <x:v>Part One</x:v>
      </x:c>
      <x:c r="D39" s="20" t="str">
        <x:v>1.1</x:v>
      </x:c>
      <x:c r="E39" s="20" t="str">
        <x:v>Part One — Individual Simplifications</x:v>
      </x:c>
      <x:c r="F39" s="20" t="str">
        <x:v>5B5A [TGH 2]
fú
“inspire
confidence”</x:v>
      </x:c>
      <x:c r="G39" s="20" t="str">
        <x:v>孚</x:v>
      </x:c>
      <x:c r="H39" s="20" t="str">
        <x:v>孵</x:v>
      </x:c>
      <x:c r="I39" s="20" t="str">
        <x:v>fū</x:v>
      </x:c>
      <x:c r="J39" s="20" t="str">
        <x:v>5B75 [TGH 1]
“hatch, brood, incubate”</x:v>
      </x:c>
      <x:c r="K39" s="20" t="str"/>
      <x:c r="L39" s="20" t="str">
        <x:v>U+5B5A</x:v>
      </x:c>
      <x:c r="M39" s="20" t="str">
        <x:v>CJK Unified Ideographs</x:v>
      </x:c>
      <x:c r="N39" s="20" t="str">
        <x:v>Unicode code point recorded</x:v>
      </x:c>
      <x:c r="O39" s="20" t="str">
        <x:v>Low</x:v>
      </x:c>
      <x:c r="P39" s="20" t="str">
        <x:v>Structured</x:v>
      </x:c>
      <x:c r="Q39" s="20" t="str">
        <x:v>1.1.038 | 5B5A [TGH 2] / fú / “inspire / confidence” | 孚 | 孵 | fū | 5B75 [TGH 1] / “hatch, brood, incubate”</x:v>
      </x:c>
      <x:c r="R39" s="20" t="str">
        <x:v>Uploaded: n2924-SecondStageSimplificationStatusv3.pdf</x:v>
      </x:c>
    </x:row>
    <x:row r="40">
      <x:c r="A40" s="20" t="str">
        <x:v>1.1.039</x:v>
      </x:c>
      <x:c r="B40" s="20" t="n">
        <x:v>7</x:v>
      </x:c>
      <x:c r="C40" s="20" t="str">
        <x:v>Part One</x:v>
      </x:c>
      <x:c r="D40" s="20" t="str">
        <x:v>1.1</x:v>
      </x:c>
      <x:c r="E40" s="20" t="str">
        <x:v>Part One — Individual Simplifications</x:v>
      </x:c>
      <x:c r="F40" s="20" t="str">
        <x:v>592B [TGH 1]
“husband; man;
person engaged in
manual labor”</x:v>
      </x:c>
      <x:c r="G40" s="20" t="str">
        <x:v>夫</x:v>
      </x:c>
      <x:c r="H40" s="20" t="str">
        <x:v>伕</x:v>
      </x:c>
      <x:c r="I40" s="20" t="str">
        <x:v>fū</x:v>
      </x:c>
      <x:c r="J40" s="20" t="str">
        <x:v>4F15 [UNUSED HMT]5</x:v>
      </x:c>
      <x:c r="K40" s="20" t="str"/>
      <x:c r="L40" s="20" t="str">
        <x:v>U+592B</x:v>
      </x:c>
      <x:c r="M40" s="20" t="str">
        <x:v>CJK Unified Ideographs</x:v>
      </x:c>
      <x:c r="N40" s="20" t="str">
        <x:v>Unicode code point recorded</x:v>
      </x:c>
      <x:c r="O40" s="20" t="str">
        <x:v>Low</x:v>
      </x:c>
      <x:c r="P40" s="20" t="str">
        <x:v>Structured</x:v>
      </x:c>
      <x:c r="Q40" s="20" t="str">
        <x:v>1.1.039 | 592B [TGH 1] / “husband; man; / person engaged in / manual labor” | 夫 | 伕 | fū | 4F15 [UNUSED HMT]5</x:v>
      </x:c>
      <x:c r="R40" s="20" t="str">
        <x:v>Uploaded: n2924-SecondStageSimplificationStatusv3.pdf</x:v>
      </x:c>
    </x:row>
    <x:row r="41">
      <x:c r="A41" s="20" t="str">
        <x:v>1.1.040</x:v>
      </x:c>
      <x:c r="B41" s="20" t="n">
        <x:v>7</x:v>
      </x:c>
      <x:c r="C41" s="20" t="str">
        <x:v>Part One</x:v>
      </x:c>
      <x:c r="D41" s="20" t="str">
        <x:v>1.1</x:v>
      </x:c>
      <x:c r="E41" s="20" t="str">
        <x:v>Part One — Individual Simplifications</x:v>
      </x:c>
      <x:c r="F41" s="20" t="str">
        <x:v>2BCB7
[UNUSED]</x:v>
      </x:c>
      <x:c r="G41" s="20" t="str">
        <x:v>𫲷𫲷</x:v>
      </x:c>
      <x:c r="H41" s="20" t="str">
        <x:v>富</x:v>
      </x:c>
      <x:c r="I41" s="20" t="str">
        <x:v>fù</x:v>
      </x:c>
      <x:c r="J41" s="20" t="str">
        <x:v>5BCC [TGH 1]
“wealthy, abundant; become
wealthy”</x:v>
      </x:c>
      <x:c r="K41" s="20" t="str"/>
      <x:c r="L41" s="20" t="str">
        <x:v>U+2BCB7</x:v>
      </x:c>
      <x:c r="M41" s="20" t="str">
        <x:v>CJK Unified Ideographs Extension E</x:v>
      </x:c>
      <x:c r="N41" s="20" t="str">
        <x:v>Unicode code point recorded</x:v>
      </x:c>
      <x:c r="O41" s="20" t="str">
        <x:v>Low</x:v>
      </x:c>
      <x:c r="P41" s="20" t="str">
        <x:v>Structured</x:v>
      </x:c>
      <x:c r="Q41" s="20" t="str">
        <x:v>1.1.040 | 2BCB7 / [UNUSED] | 𫲷𫲷 | 富 | fù | 5BCC [TGH 1] / “wealthy, abundant; become / wealthy”</x:v>
      </x:c>
      <x:c r="R41" s="20" t="str">
        <x:v>Uploaded: n2924-SecondStageSimplificationStatusv3.pdf</x:v>
      </x:c>
    </x:row>
    <x:row r="42">
      <x:c r="A42" s="20" t="str">
        <x:v>1.1.041</x:v>
      </x:c>
      <x:c r="B42" s="20" t="n">
        <x:v>8</x:v>
      </x:c>
      <x:c r="C42" s="20" t="str">
        <x:v>Part One</x:v>
      </x:c>
      <x:c r="D42" s="20" t="str">
        <x:v>1.1</x:v>
      </x:c>
      <x:c r="E42" s="20" t="str">
        <x:v>Part One — Individual Simplifications</x:v>
      </x:c>
      <x:c r="F42" s="20" t="str">
        <x:v>4ED8 [TGH 1]
“hand/turn over
to, commit to;
pay; deputy,
vice-”</x:v>
      </x:c>
      <x:c r="G42" s="20" t="str">
        <x:v>付</x:v>
      </x:c>
      <x:c r="H42" s="20" t="str">
        <x:v>副</x:v>
      </x:c>
      <x:c r="I42" s="20" t="str">
        <x:v>fù</x:v>
      </x:c>
      <x:c r="J42" s="20" t="str">
        <x:v>526F [TGH 1]
“deputy, assistant, vice-;
auxiliary; subsidiary;
counter (for sets of things
or facial expressions);
tally with, conform to,
fit”</x:v>
      </x:c>
      <x:c r="K42" s="20" t="str"/>
      <x:c r="L42" s="20" t="str">
        <x:v>U+4ED8</x:v>
      </x:c>
      <x:c r="M42" s="20" t="str">
        <x:v>CJK Unified Ideographs</x:v>
      </x:c>
      <x:c r="N42" s="20" t="str">
        <x:v>Unicode code point recorded</x:v>
      </x:c>
      <x:c r="O42" s="20" t="str">
        <x:v>Low</x:v>
      </x:c>
      <x:c r="P42" s="20" t="str">
        <x:v>Structured</x:v>
      </x:c>
      <x:c r="Q42" s="20" t="str">
        <x:v>1.1.041 | 4ED8 [TGH 1] / “hand/turn over / to, commit to; / pay; deputy, / vice-” | 付 | 副 | fù | 526F [TGH 1] / “deputy, assistant, vice-; / auxiliary; subsidiary; / counter (for sets of things / or facial expressions); / tally with, conform to, / fit”</x:v>
      </x:c>
      <x:c r="R42" s="20" t="str">
        <x:v>Uploaded: n2924-SecondStageSimplificationStatusv3.pdf</x:v>
      </x:c>
    </x:row>
    <x:row r="43">
      <x:c r="A43" s="20" t="str">
        <x:v>1.1.042</x:v>
      </x:c>
      <x:c r="B43" s="20" t="n">
        <x:v>8</x:v>
      </x:c>
      <x:c r="C43" s="20" t="str">
        <x:v>Part One</x:v>
      </x:c>
      <x:c r="D43" s="20" t="str">
        <x:v>1.1</x:v>
      </x:c>
      <x:c r="E43" s="20" t="str">
        <x:v>Part One — Individual Simplifications</x:v>
      </x:c>
      <x:c r="F43" s="20" t="str">
        <x:v>6746 [TGH 1]
gān
“pole, staff”
gǎn
“counter (for
shafted
implements);
shaft, rod”</x:v>
      </x:c>
      <x:c r="G43" s="20" t="str">
        <x:v>杆</x:v>
      </x:c>
      <x:c r="H43" s="20" t="str">
        <x:v>秆
竿</x:v>
      </x:c>
      <x:c r="I43" s="20" t="str">
        <x:v>gǎn
gān</x:v>
      </x:c>
      <x:c r="J43" s="20" t="str">
        <x:v>79C6 [TGH 1]
“stalk”
7AFF [TGH 1]
“pole, rod; counter (for
rods/flutes/etc.)”</x:v>
      </x:c>
      <x:c r="K43" s="20" t="str"/>
      <x:c r="L43" s="20" t="str">
        <x:v>U+6746</x:v>
      </x:c>
      <x:c r="M43" s="20" t="str">
        <x:v>CJK Unified Ideographs</x:v>
      </x:c>
      <x:c r="N43" s="20" t="str">
        <x:v>Unicode code point recorded</x:v>
      </x:c>
      <x:c r="O43" s="20" t="str">
        <x:v>Low</x:v>
      </x:c>
      <x:c r="P43" s="20" t="str">
        <x:v>Structured</x:v>
      </x:c>
      <x:c r="Q43" s="20" t="str">
        <x:v>1.1.042 | 6746 [TGH 1] / gān / “pole, staff” / gǎn / “counter (for / shafted / implements); / shaft, rod” | 杆 | 秆 / 竿 | gǎn / gān | 79C6 [TGH 1] / “stalk” / 7AFF [TGH 1] / “pole, rod; counter (for / rods/flutes/etc.)”</x:v>
      </x:c>
      <x:c r="R43" s="20" t="str">
        <x:v>Uploaded: n2924-SecondStageSimplificationStatusv3.pdf</x:v>
      </x:c>
    </x:row>
    <x:row r="44">
      <x:c r="A44" s="20" t="str">
        <x:v>1.1.043</x:v>
      </x:c>
      <x:c r="B44" s="20" t="n">
        <x:v>8</x:v>
      </x:c>
      <x:c r="C44" s="20" t="str">
        <x:v>Part One</x:v>
      </x:c>
      <x:c r="D44" s="20" t="str">
        <x:v>1.1</x:v>
      </x:c>
      <x:c r="E44" s="20" t="str">
        <x:v>Part One — Individual Simplifications</x:v>
      </x:c>
      <x:c r="F44" s="20" t="str">
        <x:v>52FE [TGH 1]
gōu
“cancel, cross
out, take a
section from;
delineate,
portray; induce,
evoke, attract,
lure; point
brickwork”
gòu
【 】gòudàng
勾当
“shady
deal/business”</x:v>
      </x:c>
      <x:c r="G44" s="20" t="str">
        <x:v>勾</x:v>
      </x:c>
      <x:c r="H44" s="20" t="str">
        <x:v>钩</x:v>
      </x:c>
      <x:c r="I44" s="20" t="str">
        <x:v>gōu</x:v>
      </x:c>
      <x:c r="J44" s="20" t="str">
        <x:v>94A9 [TGH 1]
“hook; check mark; hook;
sew with large stitches;
crochet”</x:v>
      </x:c>
      <x:c r="K44" s="20" t="str"/>
      <x:c r="L44" s="20" t="str">
        <x:v>U+52FE</x:v>
      </x:c>
      <x:c r="M44" s="20" t="str">
        <x:v>CJK Unified Ideographs</x:v>
      </x:c>
      <x:c r="N44" s="20" t="str">
        <x:v>Unicode code point recorded</x:v>
      </x:c>
      <x:c r="O44" s="20" t="str">
        <x:v>Low</x:v>
      </x:c>
      <x:c r="P44" s="20" t="str">
        <x:v>Structured</x:v>
      </x:c>
      <x:c r="Q44" s="20" t="str">
        <x:v>1.1.043 | 52FE [TGH 1] / gōu / “cancel, cross / out, take a / section from; / delineate, / portray; induce, / evoke, attract, / lure; point / brickwork” / gòu / 【 】gòudàng / 勾当 / “shady / deal/business” | 勾 | 钩 | gōu | 94A9 [TGH 1] / “hook; check mark; hook; / sew with large stitches; / crochet”</x:v>
      </x:c>
      <x:c r="R44" s="20" t="str">
        <x:v>Uploaded: n2924-SecondStageSimplificationStatusv3.pdf</x:v>
      </x:c>
    </x:row>
    <x:row r="45">
      <x:c r="A45" s="20" t="str">
        <x:v>1.1.044</x:v>
      </x:c>
      <x:c r="B45" s="20" t="n">
        <x:v>8</x:v>
      </x:c>
      <x:c r="C45" s="20" t="str">
        <x:v>Part One</x:v>
      </x:c>
      <x:c r="D45" s="20" t="str">
        <x:v>1.1</x:v>
      </x:c>
      <x:c r="E45" s="20" t="str">
        <x:v>Part One — Individual Simplifications</x:v>
      </x:c>
      <x:c r="F45" s="20" t="str">
        <x:v>30B43
(⿰缶又)</x:v>
      </x:c>
      <x:c r="G45" s="20" t="str">
        <x:v>𰭃𰭃</x:v>
      </x:c>
      <x:c r="H45" s="20" t="str">
        <x:v>罐</x:v>
      </x:c>
      <x:c r="I45" s="20" t="str">
        <x:v>guàn</x:v>
      </x:c>
      <x:c r="J45" s="20" t="str">
        <x:v>7F50 [TGH 1]
“vessel, container; jug,
jar; can, tin”</x:v>
      </x:c>
      <x:c r="K45" s="20" t="str"/>
      <x:c r="L45" s="20" t="str">
        <x:v>U+30B43</x:v>
      </x:c>
      <x:c r="M45" s="20" t="str">
        <x:v>CJK Unified Ideographs Extension G</x:v>
      </x:c>
      <x:c r="N45" s="20" t="str">
        <x:v>Encoded now — Extension G</x:v>
      </x:c>
      <x:c r="O45" s="20" t="str">
        <x:v>Low</x:v>
      </x:c>
      <x:c r="P45" s="20" t="str">
        <x:v>Structured</x:v>
      </x:c>
      <x:c r="Q45" s="20" t="str">
        <x:v>1.1.044 | 30B43 / (⿰缶又) | 𰭃𰭃 | 罐 | guàn | 7F50 [TGH 1] / “vessel, container; jug, / jar; can, tin”</x:v>
      </x:c>
      <x:c r="R45" s="20" t="str">
        <x:v>Uploaded: n2924-SecondStageSimplificationStatusv3.pdf</x:v>
      </x:c>
    </x:row>
    <x:row r="46">
      <x:c r="A46" s="20" t="str">
        <x:v>1.1.045</x:v>
      </x:c>
      <x:c r="B46" s="20" t="n">
        <x:v>8</x:v>
      </x:c>
      <x:c r="C46" s="20" t="str">
        <x:v>Part One</x:v>
      </x:c>
      <x:c r="D46" s="20" t="str">
        <x:v>1.1</x:v>
      </x:c>
      <x:c r="E46" s="20" t="str">
        <x:v>Part One — Individual Simplifications</x:v>
      </x:c>
      <x:c r="F46" s="20" t="str">
        <x:v>6D42 [UNUSED
HMT]</x:v>
      </x:c>
      <x:c r="G46" s="20" t="str">
        <x:v>浂</x:v>
      </x:c>
      <x:c r="H46" s="20" t="str">
        <x:v>灌
盥</x:v>
      </x:c>
      <x:c r="I46" s="20" t="str">
        <x:v>guàn</x:v>
      </x:c>
      <x:c r="J46" s="20" t="str">
        <x:v>704C [TGH 1]
“irrigate; fill, pour; make
a recording; offer a
libation”
76E5 [TGH 2]
“wash (the hands or face)”</x:v>
      </x:c>
      <x:c r="K46" s="20" t="str"/>
      <x:c r="L46" s="20" t="str">
        <x:v>U+6D42</x:v>
      </x:c>
      <x:c r="M46" s="20" t="str">
        <x:v>CJK Unified Ideographs</x:v>
      </x:c>
      <x:c r="N46" s="20" t="str">
        <x:v>Unicode code point recorded</x:v>
      </x:c>
      <x:c r="O46" s="20" t="str">
        <x:v>Low</x:v>
      </x:c>
      <x:c r="P46" s="20" t="str">
        <x:v>Structured</x:v>
      </x:c>
      <x:c r="Q46" s="20" t="str">
        <x:v>1.1.045 | 6D42 [UNUSED / HMT] | 浂 | 灌 / 盥 | guàn | 704C [TGH 1] / “irrigate; fill, pour; make / a recording; offer a / libation” / 76E5 [TGH 2] / “wash (the hands or face)”</x:v>
      </x:c>
      <x:c r="R46" s="20" t="str">
        <x:v>Uploaded: n2924-SecondStageSimplificationStatusv3.pdf</x:v>
      </x:c>
    </x:row>
    <x:row r="47">
      <x:c r="A47" s="20" t="str">
        <x:v>1.1.046</x:v>
      </x:c>
      <x:c r="B47" s="20" t="n">
        <x:v>8</x:v>
      </x:c>
      <x:c r="C47" s="20" t="str">
        <x:v>Part One</x:v>
      </x:c>
      <x:c r="D47" s="20" t="str">
        <x:v>1.1</x:v>
      </x:c>
      <x:c r="E47" s="20" t="str">
        <x:v>Part One — Individual Simplifications</x:v>
      </x:c>
      <x:c r="F47" s="20" t="str">
        <x:v>6842 [TGH 1]
“cinnamon,
cassia-bark tree;
laurel, bay tree;
sweet-scented
osmanthus”</x:v>
      </x:c>
      <x:c r="G47" s="20" t="str">
        <x:v>桂</x:v>
      </x:c>
      <x:c r="H47" s="20" t="str">
        <x:v>鳜</x:v>
      </x:c>
      <x:c r="I47" s="20" t="str">
        <x:v>guì</x:v>
      </x:c>
      <x:c r="J47" s="20" t="str">
        <x:v>9CDC [TGH 2]
“mandarin fish”</x:v>
      </x:c>
      <x:c r="K47" s="20" t="str"/>
      <x:c r="L47" s="20" t="str">
        <x:v>U+6842</x:v>
      </x:c>
      <x:c r="M47" s="20" t="str">
        <x:v>CJK Unified Ideographs</x:v>
      </x:c>
      <x:c r="N47" s="20" t="str">
        <x:v>Unicode code point recorded</x:v>
      </x:c>
      <x:c r="O47" s="20" t="str">
        <x:v>Low</x:v>
      </x:c>
      <x:c r="P47" s="20" t="str">
        <x:v>Structured</x:v>
      </x:c>
      <x:c r="Q47" s="20" t="str">
        <x:v>1.1.046 | 6842 [TGH 1] / “cinnamon, / cassia-bark tree; / laurel, bay tree; / sweet-scented / osmanthus” | 桂 | 鳜 | guì | 9CDC [TGH 2] / “mandarin fish”</x:v>
      </x:c>
      <x:c r="R47" s="20" t="str">
        <x:v>Uploaded: n2924-SecondStageSimplificationStatusv3.pdf</x:v>
      </x:c>
    </x:row>
    <x:row r="48">
      <x:c r="A48" s="20" t="str">
        <x:v>1.1.047</x:v>
      </x:c>
      <x:c r="B48" s="20" t="n">
        <x:v>8</x:v>
      </x:c>
      <x:c r="C48" s="20" t="str">
        <x:v>Part One</x:v>
      </x:c>
      <x:c r="D48" s="20" t="str">
        <x:v>1.1</x:v>
      </x:c>
      <x:c r="E48" s="20" t="str">
        <x:v>Part One — Individual Simplifications</x:v>
      </x:c>
      <x:c r="F48" s="20" t="str">
        <x:v>679C [TGH 1]
“fruit; result,
consequence;</x:v>
      </x:c>
      <x:c r="G48" s="20" t="str">
        <x:v>果</x:v>
      </x:c>
      <x:c r="H48" s="20" t="str">
        <x:v>裹</x:v>
      </x:c>
      <x:c r="I48" s="20" t="str">
        <x:v>guǒ</x:v>
      </x:c>
      <x:c r="J48" s="20" t="str">
        <x:v>88F9 [TGH 1]
“bind, wrap”</x:v>
      </x:c>
      <x:c r="K48" s="20" t="str"/>
      <x:c r="L48" s="20" t="str">
        <x:v>U+679C</x:v>
      </x:c>
      <x:c r="M48" s="20" t="str">
        <x:v>CJK Unified Ideographs</x:v>
      </x:c>
      <x:c r="N48" s="20" t="str">
        <x:v>Unicode code point recorded</x:v>
      </x:c>
      <x:c r="O48" s="20" t="str">
        <x:v>Low</x:v>
      </x:c>
      <x:c r="P48" s="20" t="str">
        <x:v>Structured</x:v>
      </x:c>
      <x:c r="Q48" s="20" t="str">
        <x:v>1.1.047 | 679C [TGH 1] / “fruit; result, / consequence; | 果 | 裹 | guǒ | 88F9 [TGH 1] / “bind, wrap”</x:v>
      </x:c>
      <x:c r="R48" s="20" t="str">
        <x:v>Uploaded: n2924-SecondStageSimplificationStatusv3.pdf</x:v>
      </x:c>
    </x:row>
    <x:row r="49">
      <x:c r="A49" s="20" t="str">
        <x:v>1.1.048</x:v>
      </x:c>
      <x:c r="B49" s="20" t="n">
        <x:v>9</x:v>
      </x:c>
      <x:c r="C49" s="20" t="str">
        <x:v>Part One</x:v>
      </x:c>
      <x:c r="D49" s="20" t="str">
        <x:v>1.1</x:v>
      </x:c>
      <x:c r="E49" s="20" t="str">
        <x:v>Part One — Individual Simplifications</x:v>
      </x:c>
      <x:c r="F49" s="20" t="str">
        <x:v>44B5 [UNUSED]</x:v>
      </x:c>
      <x:c r="G49" s="20" t="str">
        <x:v>䒵</x:v>
      </x:c>
      <x:c r="H49" s="20" t="str">
        <x:v>薅</x:v>
      </x:c>
      <x:c r="I49" s="20" t="str">
        <x:v>hāo</x:v>
      </x:c>
      <x:c r="J49" s="20" t="str">
        <x:v>8585 [TGH 2]
“pull up (weeds/etc.)”</x:v>
      </x:c>
      <x:c r="K49" s="20" t="str"/>
      <x:c r="L49" s="20" t="str">
        <x:v>U+44B5</x:v>
      </x:c>
      <x:c r="M49" s="20" t="str">
        <x:v>CJK Unified Ideographs Extension A</x:v>
      </x:c>
      <x:c r="N49" s="20" t="str">
        <x:v>Unicode code point recorded</x:v>
      </x:c>
      <x:c r="O49" s="20" t="str">
        <x:v>Low</x:v>
      </x:c>
      <x:c r="P49" s="20" t="str">
        <x:v>Structured</x:v>
      </x:c>
      <x:c r="Q49" s="20" t="str">
        <x:v>1.1.048 | 44B5 [UNUSED] | 䒵 | 薅 | hāo | 8585 [TGH 2] / “pull up (weeds/etc.)”</x:v>
      </x:c>
      <x:c r="R49" s="20" t="str">
        <x:v>Uploaded: n2924-SecondStageSimplificationStatusv3.pdf</x:v>
      </x:c>
    </x:row>
    <x:row r="50">
      <x:c r="A50" s="20" t="str">
        <x:v>1.1.049</x:v>
      </x:c>
      <x:c r="B50" s="20" t="n">
        <x:v>9</x:v>
      </x:c>
      <x:c r="C50" s="20" t="str">
        <x:v>Part One</x:v>
      </x:c>
      <x:c r="D50" s="20" t="str">
        <x:v>1.1</x:v>
      </x:c>
      <x:c r="E50" s="20" t="str">
        <x:v>Part One — Individual Simplifications</x:v>
      </x:c>
      <x:c r="F50" s="20" t="str">
        <x:v>5408 [TGH 1]
gě
“unit of dry
measure for
grain, equal to
one deciliter”
hé
“close, shut;
pool
(efforts/etc.),
join, combine;
accord with,
conform to; be
equal to, amount
to; be fitting;
whole, together,
jointly; counter
(for rounds (in
bouts/etc.));
conjunction; a
note of the scale
in gōngchěpǔ;
sexual
intercourse”</x:v>
      </x:c>
      <x:c r="G50" s="20" t="str">
        <x:v>合</x:v>
      </x:c>
      <x:c r="H50" s="20" t="str">
        <x:v>盒</x:v>
      </x:c>
      <x:c r="I50" s="20" t="str">
        <x:v>hé</x:v>
      </x:c>
      <x:c r="J50" s="20" t="str">
        <x:v>76D2 [TGH 1]
“box, especially a small
box; counter (for boxes,
cases)”</x:v>
      </x:c>
      <x:c r="K50" s="20" t="str"/>
      <x:c r="L50" s="20" t="str">
        <x:v>U+5408</x:v>
      </x:c>
      <x:c r="M50" s="20" t="str">
        <x:v>CJK Unified Ideographs</x:v>
      </x:c>
      <x:c r="N50" s="20" t="str">
        <x:v>Unicode code point recorded</x:v>
      </x:c>
      <x:c r="O50" s="20" t="str">
        <x:v>Low</x:v>
      </x:c>
      <x:c r="P50" s="20" t="str">
        <x:v>Structured</x:v>
      </x:c>
      <x:c r="Q50" s="20" t="str">
        <x:v>1.1.049 | 5408 [TGH 1] / gě / “unit of dry / measure for / grain, equal to / one deciliter” / hé / “close, shut; / pool / (efforts/etc.), / join, combine; / accord with, / conform to; be / equal to, amount / to; be fitting; / whole, together, / jointly; counter / (for rounds (in / bouts/etc.)); / conjunction; a / note of the scale / in gōngchěpǔ; / sexual / intercourse” | 合 | 盒 | hé | 76D2 [TGH 1] / “box, especially a small / box; counter (for boxes, / cases)”</x:v>
      </x:c>
      <x:c r="R50" s="20" t="str">
        <x:v>Uploaded: n2924-SecondStageSimplificationStatusv3.pdf</x:v>
      </x:c>
    </x:row>
    <x:row r="51">
      <x:c r="A51" s="20" t="str">
        <x:v>1.1.050</x:v>
      </x:c>
      <x:c r="B51" s="20" t="n">
        <x:v>9</x:v>
      </x:c>
      <x:c r="C51" s="20" t="str">
        <x:v>Part One</x:v>
      </x:c>
      <x:c r="D51" s="20" t="str">
        <x:v>1.1</x:v>
      </x:c>
      <x:c r="E51" s="20" t="str">
        <x:v>Part One — Individual Simplifications</x:v>
      </x:c>
      <x:c r="F51" s="20" t="str">
        <x:v>80E1 [TGH 1]
hú
“foreign;
recklessly,
irrelevantly;
dewlap; why,
when, how;
mustache, beard,
whiskers”</x:v>
      </x:c>
      <x:c r="G51" s="20" t="str">
        <x:v>胡</x:v>
      </x:c>
      <x:c r="H51" s="20" t="str">
        <x:v>葫
猢
蝴
糊</x:v>
      </x:c>
      <x:c r="I51" s="20" t="str">
        <x:v>hú
hú
hú
hū,
hú, hù</x:v>
      </x:c>
      <x:c r="J51" s="20" t="str">
        <x:v>846B [TGH 1]
【 】 húlu “bottle gourd,
葫芦
Lagenaria siceraria,
calabash”
7322 [TGH 2]
【 】 húsūn “macaque;
猢狲
monkey”
8774 [TGH 1]
【 】 húdié “butterfly”
蝴蝶
7CCA [TGH 1]
hū
“plaster; caulk”
hú</x:v>
      </x:c>
      <x:c r="K51" s="20" t="str"/>
      <x:c r="L51" s="20" t="str">
        <x:v>U+80E1</x:v>
      </x:c>
      <x:c r="M51" s="20" t="str">
        <x:v>CJK Unified Ideographs</x:v>
      </x:c>
      <x:c r="N51" s="20" t="str">
        <x:v>Unicode code point recorded</x:v>
      </x:c>
      <x:c r="O51" s="20" t="str">
        <x:v>Low</x:v>
      </x:c>
      <x:c r="P51" s="20" t="str">
        <x:v>Structured</x:v>
      </x:c>
      <x:c r="Q51" s="20" t="str">
        <x:v>1.1.050 | 80E1 [TGH 1] / hú / “foreign; / recklessly, / irrelevantly; / dewlap; why, / when, how; / mustache, beard, / whiskers” | 胡 | 葫 / 猢 / 蝴 / 糊 | hú / hú / hú / hū, / hú, hù | 846B [TGH 1] / 【 】 húlu “bottle gourd, / 葫芦 / Lagenaria siceraria, / calabash” / 7322 [TGH 2] / 【 】 húsūn “macaque; / 猢狲 / monkey” / 8774 [TGH 1] / 【 】 húdié “butterfly” / 蝴蝶 / 7CCA [TGH 1] / hū / “plaster; caulk” / hú</x:v>
      </x:c>
      <x:c r="R51" s="20" t="str">
        <x:v>Uploaded: n2924-SecondStageSimplificationStatusv3.pdf</x:v>
      </x:c>
    </x:row>
    <x:row r="52">
      <x:c r="A52" s="20" t="str">
        <x:v>1.1.051</x:v>
      </x:c>
      <x:c r="B52" s="20" t="n">
        <x:v>10</x:v>
      </x:c>
      <x:c r="C52" s="20" t="str">
        <x:v>Part One</x:v>
      </x:c>
      <x:c r="D52" s="20" t="str">
        <x:v>1.1</x:v>
      </x:c>
      <x:c r="E52" s="20" t="str">
        <x:v>Part One — Individual Simplifications</x:v>
      </x:c>
      <x:c r="F52" s="20" t="str">
        <x:v>⿰圼殳 6</x:v>
      </x:c>
      <x:c r="G52" s="20" t="str">
        <x:v>毁</x:v>
      </x:c>
      <x:c r="H52" s="20" t="str">
        <x:v>毁</x:v>
      </x:c>
      <x:c r="I52" s="20" t="str">
        <x:v>huǐ</x:v>
      </x:c>
      <x:c r="J52" s="20" t="str">
        <x:v>6BC1 [TGH 1]
“destroy, ruin; refashion,
make over; burn up; defame,
slander”</x:v>
      </x:c>
      <x:c r="K52" s="20" t="str"/>
      <x:c r="L52" s="20" t="str"/>
      <x:c r="M52" s="20" t="str"/>
      <x:c r="N52" s="20" t="str">
        <x:v>IDS / unencoded in 2022 source — review against Unicode 17 / GEJ</x:v>
      </x:c>
      <x:c r="O52" s="20" t="str">
        <x:v>High</x:v>
      </x:c>
      <x:c r="P52" s="20" t="str">
        <x:v>Structured</x:v>
      </x:c>
      <x:c r="Q52" s="20" t="str">
        <x:v>1.1.051 | ⿰圼殳 6 | 毁 | 毁 | huǐ | 6BC1 [TGH 1] / “destroy, ruin; refashion, / make over; burn up; defame, / slander”</x:v>
      </x:c>
      <x:c r="R52" s="20" t="str">
        <x:v>Uploaded: n2924-SecondStageSimplificationStatusv3.pdf</x:v>
      </x:c>
    </x:row>
    <x:row r="53">
      <x:c r="A53" s="20" t="str">
        <x:v>1.1.052</x:v>
      </x:c>
      <x:c r="B53" s="20" t="n">
        <x:v>10</x:v>
      </x:c>
      <x:c r="C53" s="20" t="str">
        <x:v>Part One</x:v>
      </x:c>
      <x:c r="D53" s="20" t="str">
        <x:v>1.1</x:v>
      </x:c>
      <x:c r="E53" s="20" t="str">
        <x:v>Part One — Individual Simplifications</x:v>
      </x:c>
      <x:c r="F53" s="20" t="str">
        <x:v>7B08 [TGH 2]
“book box”</x:v>
      </x:c>
      <x:c r="G53" s="20" t="str">
        <x:v>笈</x:v>
      </x:c>
      <x:c r="H53" s="20" t="str">
        <x:v>籍</x:v>
      </x:c>
      <x:c r="I53" s="20" t="str">
        <x:v>jí</x:v>
      </x:c>
      <x:c r="J53" s="20" t="str">
        <x:v>7C4D [TGH 1]
“books, works; native
place, birthplace;
membership”</x:v>
      </x:c>
      <x:c r="K53" s="20" t="str"/>
      <x:c r="L53" s="20" t="str">
        <x:v>U+7B08</x:v>
      </x:c>
      <x:c r="M53" s="20" t="str">
        <x:v>CJK Unified Ideographs</x:v>
      </x:c>
      <x:c r="N53" s="20" t="str">
        <x:v>Unicode code point recorded</x:v>
      </x:c>
      <x:c r="O53" s="20" t="str">
        <x:v>Low</x:v>
      </x:c>
      <x:c r="P53" s="20" t="str">
        <x:v>Structured</x:v>
      </x:c>
      <x:c r="Q53" s="20" t="str">
        <x:v>1.1.052 | 7B08 [TGH 2] / “book box” | 笈 | 籍 | jí | 7C4D [TGH 1] / “books, works; native / place, birthplace; / membership”</x:v>
      </x:c>
      <x:c r="R53" s="20" t="str">
        <x:v>Uploaded: n2924-SecondStageSimplificationStatusv3.pdf</x:v>
      </x:c>
    </x:row>
    <x:row r="54">
      <x:c r="A54" s="20" t="str">
        <x:v>1.1.053</x:v>
      </x:c>
      <x:c r="B54" s="20" t="n">
        <x:v>10</x:v>
      </x:c>
      <x:c r="C54" s="20" t="str">
        <x:v>Part One</x:v>
      </x:c>
      <x:c r="D54" s="20" t="str">
        <x:v>1.1</x:v>
      </x:c>
      <x:c r="E54" s="20" t="str">
        <x:v>Part One — Individual Simplifications</x:v>
      </x:c>
      <x:c r="F54" s="20" t="str">
        <x:v>8FE0 [UNUSED
HMT]</x:v>
      </x:c>
      <x:c r="G54" s="20" t="str">
        <x:v>迠</x:v>
      </x:c>
      <x:c r="H54" s="20" t="str">
        <x:v>建</x:v>
      </x:c>
      <x:c r="I54" s="20" t="str">
        <x:v>jiàn</x:v>
      </x:c>
      <x:c r="J54" s="20" t="str">
        <x:v>5EFA [TGH 1]
“build, construct, erect;
establish, set up, found;
propose, advocate”</x:v>
      </x:c>
      <x:c r="K54" s="20" t="str"/>
      <x:c r="L54" s="20" t="str">
        <x:v>U+8FE0</x:v>
      </x:c>
      <x:c r="M54" s="20" t="str">
        <x:v>CJK Unified Ideographs</x:v>
      </x:c>
      <x:c r="N54" s="20" t="str">
        <x:v>Unicode code point recorded</x:v>
      </x:c>
      <x:c r="O54" s="20" t="str">
        <x:v>Low</x:v>
      </x:c>
      <x:c r="P54" s="20" t="str">
        <x:v>Structured</x:v>
      </x:c>
      <x:c r="Q54" s="20" t="str">
        <x:v>1.1.053 | 8FE0 [UNUSED / HMT] | 迠 | 建 | jiàn | 5EFA [TGH 1] / “build, construct, erect; / establish, set up, found; / propose, advocate”</x:v>
      </x:c>
      <x:c r="R54" s="20" t="str">
        <x:v>Uploaded: n2924-SecondStageSimplificationStatusv3.pdf</x:v>
      </x:c>
    </x:row>
    <x:row r="55">
      <x:c r="A55" s="20" t="str">
        <x:v>1.1.054</x:v>
      </x:c>
      <x:c r="B55" s="20" t="n">
        <x:v>10</x:v>
      </x:c>
      <x:c r="C55" s="20" t="str">
        <x:v>Part One</x:v>
      </x:c>
      <x:c r="D55" s="20" t="str">
        <x:v>1.1</x:v>
      </x:c>
      <x:c r="E55" s="20" t="str">
        <x:v>Part One — Individual Simplifications</x:v>
      </x:c>
      <x:c r="F55" s="20" t="str">
        <x:v>6C5F [TGH 1]
“river”</x:v>
      </x:c>
      <x:c r="G55" s="20" t="str">
        <x:v>江</x:v>
      </x:c>
      <x:c r="H55" s="20" t="str">
        <x:v>豇</x:v>
      </x:c>
      <x:c r="I55" s="20" t="str">
        <x:v>jiāng</x:v>
      </x:c>
      <x:c r="J55" s="20" t="str">
        <x:v>8C47 [TGH 2]
【 】jiāngdòu “cowpea,
豇豆
Vigna unguiculata, black-
eyed pea”</x:v>
      </x:c>
      <x:c r="K55" s="20" t="str"/>
      <x:c r="L55" s="20" t="str">
        <x:v>U+6C5F</x:v>
      </x:c>
      <x:c r="M55" s="20" t="str">
        <x:v>CJK Unified Ideographs</x:v>
      </x:c>
      <x:c r="N55" s="20" t="str">
        <x:v>Unicode code point recorded</x:v>
      </x:c>
      <x:c r="O55" s="20" t="str">
        <x:v>Low</x:v>
      </x:c>
      <x:c r="P55" s="20" t="str">
        <x:v>Structured</x:v>
      </x:c>
      <x:c r="Q55" s="20" t="str">
        <x:v>1.1.054 | 6C5F [TGH 1] / “river” | 江 | 豇 | jiāng | 8C47 [TGH 2] / 【 】jiāngdòu “cowpea, / 豇豆 / Vigna unguiculata, black- / eyed pea”</x:v>
      </x:c>
      <x:c r="R55" s="20" t="str">
        <x:v>Uploaded: n2924-SecondStageSimplificationStatusv3.pdf</x:v>
      </x:c>
    </x:row>
    <x:row r="56">
      <x:c r="A56" s="20" t="str">
        <x:v>1.1.055</x:v>
      </x:c>
      <x:c r="B56" s="20" t="n">
        <x:v>10</x:v>
      </x:c>
      <x:c r="C56" s="20" t="str">
        <x:v>Part One</x:v>
      </x:c>
      <x:c r="D56" s="20" t="str">
        <x:v>1.1</x:v>
      </x:c>
      <x:c r="E56" s="20" t="str">
        <x:v>Part One — Individual Simplifications</x:v>
      </x:c>
      <x:c r="F56" s="20" t="str">
        <x:v>2A9F7
[UNUSED]</x:v>
      </x:c>
      <x:c r="G56" s="20" t="str">
        <x:v>𪧷𪧷</x:v>
      </x:c>
      <x:c r="H56" s="20" t="str">
        <x:v>酱</x:v>
      </x:c>
      <x:c r="I56" s="20" t="str">
        <x:v>jiàng</x:v>
      </x:c>
      <x:c r="J56" s="20" t="str">
        <x:v>9171 [TGH 1]
“thick sauce; cook/pickle
in soy sauce”</x:v>
      </x:c>
      <x:c r="K56" s="20" t="str"/>
      <x:c r="L56" s="20" t="str">
        <x:v>U+2A9F7</x:v>
      </x:c>
      <x:c r="M56" s="20" t="str">
        <x:v>CJK Unified Ideographs Extension C</x:v>
      </x:c>
      <x:c r="N56" s="20" t="str">
        <x:v>Unicode code point recorded</x:v>
      </x:c>
      <x:c r="O56" s="20" t="str">
        <x:v>Low</x:v>
      </x:c>
      <x:c r="P56" s="20" t="str">
        <x:v>Structured</x:v>
      </x:c>
      <x:c r="Q56" s="20" t="str">
        <x:v>1.1.055 | 2A9F7 / [UNUSED] | 𪧷𪧷 | 酱 | jiàng | 9171 [TGH 1] / “thick sauce; cook/pickle / in soy sauce”</x:v>
      </x:c>
      <x:c r="R56" s="20" t="str">
        <x:v>Uploaded: n2924-SecondStageSimplificationStatusv3.pdf</x:v>
      </x:c>
    </x:row>
    <x:row r="57">
      <x:c r="A57" s="20" t="str">
        <x:v>1.1.056</x:v>
      </x:c>
      <x:c r="B57" s="20" t="n">
        <x:v>10</x:v>
      </x:c>
      <x:c r="C57" s="20" t="str">
        <x:v>Part One</x:v>
      </x:c>
      <x:c r="D57" s="20" t="str">
        <x:v>1.1</x:v>
      </x:c>
      <x:c r="E57" s="20" t="str">
        <x:v>Part One — Individual Simplifications</x:v>
      </x:c>
      <x:c r="F57" s="20" t="str">
        <x:v>4EA4 [TGH 1]
“hand over, give
up, deliver;
meet, intersect
(of place/time);
reach
(hour/season);
cross, intersect;
associate with;
have sexual
intercourse,
mate; fall;
friendship;
relationship;
business
transaction;
deal; mutually,
reciprocally;
together,
simultaneously”</x:v>
      </x:c>
      <x:c r="G57" s="20" t="str">
        <x:v>交</x:v>
      </x:c>
      <x:c r="H57" s="20" t="str">
        <x:v>跤</x:v>
      </x:c>
      <x:c r="I57" s="20" t="str">
        <x:v>jiāo</x:v>
      </x:c>
      <x:c r="J57" s="20" t="str">
        <x:v>8DE4 [TGH 1]
“stumble, fall down;
wrestle”</x:v>
      </x:c>
      <x:c r="K57" s="20" t="str"/>
      <x:c r="L57" s="20" t="str">
        <x:v>U+4EA4</x:v>
      </x:c>
      <x:c r="M57" s="20" t="str">
        <x:v>CJK Unified Ideographs</x:v>
      </x:c>
      <x:c r="N57" s="20" t="str">
        <x:v>Unicode code point recorded</x:v>
      </x:c>
      <x:c r="O57" s="20" t="str">
        <x:v>Low</x:v>
      </x:c>
      <x:c r="P57" s="20" t="str">
        <x:v>Structured</x:v>
      </x:c>
      <x:c r="Q57" s="20" t="str">
        <x:v>1.1.056 | 4EA4 [TGH 1] / “hand over, give / up, deliver; / meet, intersect / (of place/time); / reach / (hour/season); / cross, intersect; / associate with; / have sexual / intercourse, / mate; fall; / friendship; / relationship; / business / transaction; / deal; mutually, / reciprocally; / together, / simultaneously” | 交 | 跤 | jiāo | 8DE4 [TGH 1] / “stumble, fall down; / wrestle”</x:v>
      </x:c>
      <x:c r="R57" s="20" t="str">
        <x:v>Uploaded: n2924-SecondStageSimplificationStatusv3.pdf</x:v>
      </x:c>
    </x:row>
    <x:row r="58">
      <x:c r="A58" s="20" t="str">
        <x:v>1.1.057</x:v>
      </x:c>
      <x:c r="B58" s="20" t="n">
        <x:v>11</x:v>
      </x:c>
      <x:c r="C58" s="20" t="str">
        <x:v>Part One</x:v>
      </x:c>
      <x:c r="D58" s="20" t="str">
        <x:v>1.1</x:v>
      </x:c>
      <x:c r="E58" s="20" t="str">
        <x:v>Part One — Individual Simplifications</x:v>
      </x:c>
      <x:c r="F58" s="20" t="str">
        <x:v>832D [TGH 2]
【 】jiāobái
茭白
“water-oat
shoots”</x:v>
      </x:c>
      <x:c r="G58" s="20" t="str">
        <x:v>茭</x:v>
      </x:c>
      <x:c r="H58" s="20" t="str">
        <x:v>椒</x:v>
      </x:c>
      <x:c r="I58" s="20" t="str">
        <x:v>jiāo</x:v>
      </x:c>
      <x:c r="J58" s="20" t="str">
        <x:v>6912 [TGH 1]
“pepper, spice plants”</x:v>
      </x:c>
      <x:c r="K58" s="20" t="str"/>
      <x:c r="L58" s="20" t="str">
        <x:v>U+832D</x:v>
      </x:c>
      <x:c r="M58" s="20" t="str">
        <x:v>CJK Unified Ideographs</x:v>
      </x:c>
      <x:c r="N58" s="20" t="str">
        <x:v>Unicode code point recorded</x:v>
      </x:c>
      <x:c r="O58" s="20" t="str">
        <x:v>Low</x:v>
      </x:c>
      <x:c r="P58" s="20" t="str">
        <x:v>Structured</x:v>
      </x:c>
      <x:c r="Q58" s="20" t="str">
        <x:v>1.1.057 | 832D [TGH 2] / 【 】jiāobái / 茭白 / “water-oat / shoots” | 茭 | 椒 | jiāo | 6912 [TGH 1] / “pepper, spice plants”</x:v>
      </x:c>
      <x:c r="R58" s="20" t="str">
        <x:v>Uploaded: n2924-SecondStageSimplificationStatusv3.pdf</x:v>
      </x:c>
    </x:row>
    <x:row r="59">
      <x:c r="A59" s="20" t="str">
        <x:v>1.1.058</x:v>
      </x:c>
      <x:c r="B59" s="20" t="n">
        <x:v>11</x:v>
      </x:c>
      <x:c r="C59" s="20" t="str">
        <x:v>Part One</x:v>
      </x:c>
      <x:c r="D59" s="20" t="str">
        <x:v>1.1</x:v>
      </x:c>
      <x:c r="E59" s="20" t="str">
        <x:v>Part One — Individual Simplifications</x:v>
      </x:c>
      <x:c r="F59" s="20" t="str">
        <x:v>4E8D [TGH 3]
chù
【 】chìchù
彳亍
“walk slowly”</x:v>
      </x:c>
      <x:c r="G59" s="20" t="str">
        <x:v>亍</x:v>
      </x:c>
      <x:c r="H59" s="20" t="str">
        <x:v>街</x:v>
      </x:c>
      <x:c r="I59" s="20" t="str">
        <x:v>jiē</x:v>
      </x:c>
      <x:c r="J59" s="20" t="str">
        <x:v>8857 [TGH 1]
“street; county fair,
market”</x:v>
      </x:c>
      <x:c r="K59" s="20" t="str"/>
      <x:c r="L59" s="20" t="str">
        <x:v>U+4E8D</x:v>
      </x:c>
      <x:c r="M59" s="20" t="str">
        <x:v>CJK Unified Ideographs</x:v>
      </x:c>
      <x:c r="N59" s="20" t="str">
        <x:v>Unicode code point recorded</x:v>
      </x:c>
      <x:c r="O59" s="20" t="str">
        <x:v>Low</x:v>
      </x:c>
      <x:c r="P59" s="20" t="str">
        <x:v>Structured</x:v>
      </x:c>
      <x:c r="Q59" s="20" t="str">
        <x:v>1.1.058 | 4E8D [TGH 3] / chù / 【 】chìchù / 彳亍 / “walk slowly” | 亍 | 街 | jiē | 8857 [TGH 1] / “street; county fair, / market”</x:v>
      </x:c>
      <x:c r="R59" s="20" t="str">
        <x:v>Uploaded: n2924-SecondStageSimplificationStatusv3.pdf</x:v>
      </x:c>
    </x:row>
    <x:row r="60">
      <x:c r="A60" s="20" t="str">
        <x:v>1.1.059</x:v>
      </x:c>
      <x:c r="B60" s="20" t="n">
        <x:v>11</x:v>
      </x:c>
      <x:c r="C60" s="20" t="str">
        <x:v>Part One</x:v>
      </x:c>
      <x:c r="D60" s="20" t="str">
        <x:v>1.1</x:v>
      </x:c>
      <x:c r="E60" s="20" t="str">
        <x:v>Part One — Individual Simplifications</x:v>
      </x:c>
      <x:c r="F60" s="20" t="str">
        <x:v>4E95 [TGH 1]
“well; neat,
orderly”</x:v>
      </x:c>
      <x:c r="G60" s="20" t="str">
        <x:v>井</x:v>
      </x:c>
      <x:c r="H60" s="20" t="str">
        <x:v>阱</x:v>
      </x:c>
      <x:c r="I60" s="20" t="str">
        <x:v>jǐng</x:v>
      </x:c>
      <x:c r="J60" s="20" t="str">
        <x:v>9631 [TGH 2]
“trap, pitfall, pit”</x:v>
      </x:c>
      <x:c r="K60" s="20" t="str"/>
      <x:c r="L60" s="20" t="str">
        <x:v>U+4E95</x:v>
      </x:c>
      <x:c r="M60" s="20" t="str">
        <x:v>CJK Unified Ideographs</x:v>
      </x:c>
      <x:c r="N60" s="20" t="str">
        <x:v>Unicode code point recorded</x:v>
      </x:c>
      <x:c r="O60" s="20" t="str">
        <x:v>Low</x:v>
      </x:c>
      <x:c r="P60" s="20" t="str">
        <x:v>Structured</x:v>
      </x:c>
      <x:c r="Q60" s="20" t="str">
        <x:v>1.1.059 | 4E95 [TGH 1] / “well; neat, / orderly” | 井 | 阱 | jǐng | 9631 [TGH 2] / “trap, pitfall, pit”</x:v>
      </x:c>
      <x:c r="R60" s="20" t="str">
        <x:v>Uploaded: n2924-SecondStageSimplificationStatusv3.pdf</x:v>
      </x:c>
    </x:row>
    <x:row r="61">
      <x:c r="A61" s="20" t="str">
        <x:v>1.1.060</x:v>
      </x:c>
      <x:c r="B61" s="20" t="n">
        <x:v>11</x:v>
      </x:c>
      <x:c r="C61" s="20" t="str">
        <x:v>Part One</x:v>
      </x:c>
      <x:c r="D61" s="20" t="str">
        <x:v>1.1</x:v>
      </x:c>
      <x:c r="E61" s="20" t="str">
        <x:v>Part One — Individual Simplifications</x:v>
      </x:c>
      <x:c r="F61" s="20" t="str">
        <x:v>362B [UNUSED]</x:v>
      </x:c>
      <x:c r="G61" s="20" t="str">
        <x:v>㘫</x:v>
      </x:c>
      <x:c r="H61" s="20" t="str">
        <x:v>境</x:v>
      </x:c>
      <x:c r="I61" s="20" t="str">
        <x:v>jìng</x:v>
      </x:c>
      <x:c r="J61" s="20" t="str">
        <x:v>5883 [TGH 1]
“border, boundary; place,
area, territory; condition,
situation, circumstances”</x:v>
      </x:c>
      <x:c r="K61" s="20" t="str"/>
      <x:c r="L61" s="20" t="str">
        <x:v>U+362B</x:v>
      </x:c>
      <x:c r="M61" s="20" t="str">
        <x:v>CJK Unified Ideographs Extension A</x:v>
      </x:c>
      <x:c r="N61" s="20" t="str">
        <x:v>Unicode code point recorded</x:v>
      </x:c>
      <x:c r="O61" s="20" t="str">
        <x:v>Low</x:v>
      </x:c>
      <x:c r="P61" s="20" t="str">
        <x:v>Structured</x:v>
      </x:c>
      <x:c r="Q61" s="20" t="str">
        <x:v>1.1.060 | 362B [UNUSED] | 㘫 | 境 | jìng | 5883 [TGH 1] / “border, boundary; place, / area, territory; condition, / situation, circumstances”</x:v>
      </x:c>
      <x:c r="R61" s="20" t="str">
        <x:v>Uploaded: n2924-SecondStageSimplificationStatusv3.pdf</x:v>
      </x:c>
    </x:row>
    <x:row r="62">
      <x:c r="A62" s="20" t="str">
        <x:v>1.1.061</x:v>
      </x:c>
      <x:c r="B62" s="20" t="n">
        <x:v>11</x:v>
      </x:c>
      <x:c r="C62" s="20" t="str">
        <x:v>Part One</x:v>
      </x:c>
      <x:c r="D62" s="20" t="str">
        <x:v>1.1</x:v>
      </x:c>
      <x:c r="E62" s="20" t="str">
        <x:v>Part One — Individual Simplifications</x:v>
      </x:c>
      <x:c r="F62" s="20" t="str">
        <x:v>30F5F
(⿰钅井)</x:v>
      </x:c>
      <x:c r="G62" s="20" t="str">
        <x:v>𰽟𰽟</x:v>
      </x:c>
      <x:c r="H62" s="20" t="str">
        <x:v>镜</x:v>
      </x:c>
      <x:c r="I62" s="20" t="str">
        <x:v>jìng</x:v>
      </x:c>
      <x:c r="J62" s="20" t="str">
        <x:v>955C [TGH 1]
“mirror; lens, glass”</x:v>
      </x:c>
      <x:c r="K62" s="20" t="str"/>
      <x:c r="L62" s="20" t="str">
        <x:v>U+30F5F</x:v>
      </x:c>
      <x:c r="M62" s="20" t="str">
        <x:v>CJK Unified Ideographs Extension G</x:v>
      </x:c>
      <x:c r="N62" s="20" t="str">
        <x:v>Encoded now — Extension G</x:v>
      </x:c>
      <x:c r="O62" s="20" t="str">
        <x:v>Low</x:v>
      </x:c>
      <x:c r="P62" s="20" t="str">
        <x:v>Structured</x:v>
      </x:c>
      <x:c r="Q62" s="20" t="str">
        <x:v>1.1.061 | 30F5F / (⿰钅井) | 𰽟𰽟 | 镜 | jìng | 955C [TGH 1] / “mirror; lens, glass”</x:v>
      </x:c>
      <x:c r="R62" s="20" t="str">
        <x:v>Uploaded: n2924-SecondStageSimplificationStatusv3.pdf</x:v>
      </x:c>
    </x:row>
    <x:row r="63">
      <x:c r="A63" s="20" t="str">
        <x:v>1.1.062</x:v>
      </x:c>
      <x:c r="B63" s="20" t="n">
        <x:v>11</x:v>
      </x:c>
      <x:c r="C63" s="20" t="str">
        <x:v>Part One</x:v>
      </x:c>
      <x:c r="D63" s="20" t="str">
        <x:v>1.1</x:v>
      </x:c>
      <x:c r="E63" s="20" t="str">
        <x:v>Part One — Individual Simplifications</x:v>
      </x:c>
      <x:c r="F63" s="20" t="str">
        <x:v>827D [TGH 2]
jiāo
【 】qínjiāo
秦艽
“large leaf
gentian, Gentiana
macrophylla”</x:v>
      </x:c>
      <x:c r="G63" s="20" t="str">
        <x:v>艽</x:v>
      </x:c>
      <x:c r="H63" s="20" t="str">
        <x:v>韭</x:v>
      </x:c>
      <x:c r="I63" s="20" t="str">
        <x:v>jiǔ</x:v>
      </x:c>
      <x:c r="J63" s="20" t="str">
        <x:v>97ED [TGH 1]
“fragrant-flowered garlic,
leek; chives”</x:v>
      </x:c>
      <x:c r="K63" s="20" t="str"/>
      <x:c r="L63" s="20" t="str">
        <x:v>U+827D</x:v>
      </x:c>
      <x:c r="M63" s="20" t="str">
        <x:v>CJK Unified Ideographs</x:v>
      </x:c>
      <x:c r="N63" s="20" t="str">
        <x:v>Unicode code point recorded</x:v>
      </x:c>
      <x:c r="O63" s="20" t="str">
        <x:v>Low</x:v>
      </x:c>
      <x:c r="P63" s="20" t="str">
        <x:v>Structured</x:v>
      </x:c>
      <x:c r="Q63" s="20" t="str">
        <x:v>1.1.062 | 827D [TGH 2] / jiāo / 【 】qínjiāo / 秦艽 / “large leaf / gentian, Gentiana / macrophylla” | 艽 | 韭 | jiǔ | 97ED [TGH 1] / “fragrant-flowered garlic, / leek; chives”</x:v>
      </x:c>
      <x:c r="R63" s="20" t="str">
        <x:v>Uploaded: n2924-SecondStageSimplificationStatusv3.pdf</x:v>
      </x:c>
    </x:row>
    <x:row r="64">
      <x:c r="A64" s="20" t="str">
        <x:v>1.1.063</x:v>
      </x:c>
      <x:c r="B64" s="20" t="n">
        <x:v>11</x:v>
      </x:c>
      <x:c r="C64" s="20" t="str">
        <x:v>Part One</x:v>
      </x:c>
      <x:c r="D64" s="20" t="str">
        <x:v>1.1</x:v>
      </x:c>
      <x:c r="E64" s="20" t="str">
        <x:v>Part One — Individual Simplifications</x:v>
      </x:c>
      <x:c r="F64" s="20" t="str">
        <x:v>6C3F [TGH 3]
used in names of
lakes</x:v>
      </x:c>
      <x:c r="G64" s="20" t="str">
        <x:v>氿</x:v>
      </x:c>
      <x:c r="H64" s="20" t="str">
        <x:v>酒</x:v>
      </x:c>
      <x:c r="I64" s="20" t="str">
        <x:v>jiǔ</x:v>
      </x:c>
      <x:c r="J64" s="20" t="str">
        <x:v>9152 [TGH 1]
“wine, liquor, spirits”</x:v>
      </x:c>
      <x:c r="K64" s="20" t="str"/>
      <x:c r="L64" s="20" t="str">
        <x:v>U+6C3F</x:v>
      </x:c>
      <x:c r="M64" s="20" t="str">
        <x:v>CJK Unified Ideographs</x:v>
      </x:c>
      <x:c r="N64" s="20" t="str">
        <x:v>Unicode code point recorded</x:v>
      </x:c>
      <x:c r="O64" s="20" t="str">
        <x:v>Low</x:v>
      </x:c>
      <x:c r="P64" s="20" t="str">
        <x:v>Structured</x:v>
      </x:c>
      <x:c r="Q64" s="20" t="str">
        <x:v>1.1.063 | 6C3F [TGH 3] / used in names of / lakes | 氿 | 酒 | jiǔ | 9152 [TGH 1] / “wine, liquor, spirits”</x:v>
      </x:c>
      <x:c r="R64" s="20" t="str">
        <x:v>Uploaded: n2924-SecondStageSimplificationStatusv3.pdf</x:v>
      </x:c>
    </x:row>
    <x:row r="65">
      <x:c r="A65" s="20" t="str">
        <x:v>1.1.064</x:v>
      </x:c>
      <x:c r="B65" s="20" t="n">
        <x:v>11</x:v>
      </x:c>
      <x:c r="C65" s="20" t="str">
        <x:v>Part One</x:v>
      </x:c>
      <x:c r="D65" s="20" t="str">
        <x:v>1.1</x:v>
      </x:c>
      <x:c r="E65" s="20" t="str">
        <x:v>Part One — Individual Simplifications</x:v>
      </x:c>
      <x:c r="F65" s="20" t="str">
        <x:v>6854 [TGH 1]
jié
【 】 jiégěng
桔梗
“Chinese
bellflower,
Platycodon
grandiflorus”
【 】 jiégāo
桔槔
“well-sweep”</x:v>
      </x:c>
      <x:c r="G65" s="20" t="str">
        <x:v>桔</x:v>
      </x:c>
      <x:c r="H65" s="20" t="str">
        <x:v>橘</x:v>
      </x:c>
      <x:c r="I65" s="20" t="str">
        <x:v>jú</x:v>
      </x:c>
      <x:c r="J65" s="20" t="str">
        <x:v>6A58 [TGH 1]
“tangerine, orange”</x:v>
      </x:c>
      <x:c r="K65" s="20" t="str"/>
      <x:c r="L65" s="20" t="str">
        <x:v>U+6854</x:v>
      </x:c>
      <x:c r="M65" s="20" t="str">
        <x:v>CJK Unified Ideographs</x:v>
      </x:c>
      <x:c r="N65" s="20" t="str">
        <x:v>Unicode code point recorded</x:v>
      </x:c>
      <x:c r="O65" s="20" t="str">
        <x:v>Low</x:v>
      </x:c>
      <x:c r="P65" s="20" t="str">
        <x:v>Structured</x:v>
      </x:c>
      <x:c r="Q65" s="20" t="str">
        <x:v>1.1.064 | 6854 [TGH 1] / jié / 【 】 jiégěng / 桔梗 / “Chinese / bellflower, / Platycodon / grandiflorus” / 【 】 jiégāo / 桔槔 / “well-sweep” | 桔 | 橘 | jú | 6A58 [TGH 1] / “tangerine, orange”</x:v>
      </x:c>
      <x:c r="R65" s="20" t="str">
        <x:v>Uploaded: n2924-SecondStageSimplificationStatusv3.pdf</x:v>
      </x:c>
    </x:row>
    <x:row r="66">
      <x:c r="A66" s="20" t="str">
        <x:v>1.1.065</x:v>
      </x:c>
      <x:c r="B66" s="20" t="n">
        <x:v>11</x:v>
      </x:c>
      <x:c r="C66" s="20" t="str">
        <x:v>Part One</x:v>
      </x:c>
      <x:c r="D66" s="20" t="str">
        <x:v>1.1</x:v>
      </x:c>
      <x:c r="E66" s="20" t="str">
        <x:v>Part One — Individual Simplifications</x:v>
      </x:c>
      <x:c r="F66" s="20" t="str">
        <x:v>30F64
(⿰钅夬)</x:v>
      </x:c>
      <x:c r="G66" s="20" t="str">
        <x:v>𰽤𰽤</x:v>
      </x:c>
      <x:c r="H66" s="20" t="str">
        <x:v>镢䦆</x:v>
      </x:c>
      <x:c r="I66" s="20" t="str">
        <x:v>jué</x:v>
      </x:c>
      <x:c r="J66" s="20" t="str">
        <x:v>9562 [TGH 2]
“pickaxe”
4986 [UNUSED]7</x:v>
      </x:c>
      <x:c r="K66" s="20" t="str"/>
      <x:c r="L66" s="20" t="str">
        <x:v>U+30F64</x:v>
      </x:c>
      <x:c r="M66" s="20" t="str">
        <x:v>CJK Unified Ideographs Extension G</x:v>
      </x:c>
      <x:c r="N66" s="20" t="str">
        <x:v>Encoded now — Extension G</x:v>
      </x:c>
      <x:c r="O66" s="20" t="str">
        <x:v>Low</x:v>
      </x:c>
      <x:c r="P66" s="20" t="str">
        <x:v>Structured</x:v>
      </x:c>
      <x:c r="Q66" s="20" t="str">
        <x:v>1.1.065 | 30F64 / (⿰钅夬) | 𰽤𰽤 | 镢䦆 | jué | 9562 [TGH 2] / “pickaxe” / 4986 [UNUSED]7</x:v>
      </x:c>
      <x:c r="R66" s="20" t="str">
        <x:v>Uploaded: n2924-SecondStageSimplificationStatusv3.pdf</x:v>
      </x:c>
    </x:row>
    <x:row r="67">
      <x:c r="A67" s="20" t="str">
        <x:v>1.1.066</x:v>
      </x:c>
      <x:c r="B67" s="20" t="n">
        <x:v>11</x:v>
      </x:c>
      <x:c r="C67" s="20" t="str">
        <x:v>Part One</x:v>
      </x:c>
      <x:c r="D67" s="20" t="str">
        <x:v>1.1</x:v>
      </x:c>
      <x:c r="E67" s="20" t="str">
        <x:v>Part One — Individual Simplifications</x:v>
      </x:c>
      <x:c r="F67" s="20" t="str">
        <x:v>5FFC [UNUSED]</x:v>
      </x:c>
      <x:c r="G67" s="20" t="str">
        <x:v>忼</x:v>
      </x:c>
      <x:c r="H67" s="20" t="str">
        <x:v>慷</x:v>
      </x:c>
      <x:c r="I67" s="20" t="str">
        <x:v>kāng</x:v>
      </x:c>
      <x:c r="J67" s="20" t="str">
        <x:v>6177 [TGH 1]</x:v>
      </x:c>
      <x:c r="K67" s="20" t="str"/>
      <x:c r="L67" s="20" t="str">
        <x:v>U+5FFC</x:v>
      </x:c>
      <x:c r="M67" s="20" t="str">
        <x:v>CJK Unified Ideographs</x:v>
      </x:c>
      <x:c r="N67" s="20" t="str">
        <x:v>Unicode code point recorded</x:v>
      </x:c>
      <x:c r="O67" s="20" t="str">
        <x:v>Low</x:v>
      </x:c>
      <x:c r="P67" s="20" t="str">
        <x:v>Structured</x:v>
      </x:c>
      <x:c r="Q67" s="20" t="str">
        <x:v>1.1.066 | 5FFC [UNUSED] | 忼 | 慷 | kāng | 6177 [TGH 1]</x:v>
      </x:c>
      <x:c r="R67" s="20" t="str">
        <x:v>Uploaded: n2924-SecondStageSimplificationStatusv3.pdf</x:v>
      </x:c>
    </x:row>
    <x:row r="68">
      <x:c r="A68" s="20" t="str">
        <x:v>1.1.067</x:v>
      </x:c>
      <x:c r="B68" s="20" t="n">
        <x:v>12</x:v>
      </x:c>
      <x:c r="C68" s="20" t="str">
        <x:v>Part One</x:v>
      </x:c>
      <x:c r="D68" s="20" t="str">
        <x:v>1.1</x:v>
      </x:c>
      <x:c r="E68" s="20" t="str">
        <x:v>Part One — Individual Simplifications</x:v>
      </x:c>
      <x:c r="F68" s="20" t="str">
        <x:v>7C87 [UNUSED]</x:v>
      </x:c>
      <x:c r="G68" s="20" t="str">
        <x:v>粇</x:v>
      </x:c>
      <x:c r="H68" s="20" t="str">
        <x:v>糠</x:v>
      </x:c>
      <x:c r="I68" s="20" t="str">
        <x:v>kāng</x:v>
      </x:c>
      <x:c r="J68" s="20" t="str">
        <x:v>7CE0 [TGH 1]
“chaff, bran, husk; dry and
spongy (usu. of
vegetables); shiver”</x:v>
      </x:c>
      <x:c r="K68" s="20" t="str"/>
      <x:c r="L68" s="20" t="str">
        <x:v>U+7C87</x:v>
      </x:c>
      <x:c r="M68" s="20" t="str">
        <x:v>CJK Unified Ideographs</x:v>
      </x:c>
      <x:c r="N68" s="20" t="str">
        <x:v>Unicode code point recorded</x:v>
      </x:c>
      <x:c r="O68" s="20" t="str">
        <x:v>Low</x:v>
      </x:c>
      <x:c r="P68" s="20" t="str">
        <x:v>Structured</x:v>
      </x:c>
      <x:c r="Q68" s="20" t="str">
        <x:v>1.1.067 | 7C87 [UNUSED] | 粇 | 糠 | kāng | 7CE0 [TGH 1] / “chaff, bran, husk; dry and / spongy (usu. of / vegetables); shiver”</x:v>
      </x:c>
      <x:c r="R68" s="20" t="str">
        <x:v>Uploaded: n2924-SecondStageSimplificationStatusv3.pdf</x:v>
      </x:c>
    </x:row>
    <x:row r="69">
      <x:c r="A69" s="20" t="str">
        <x:v>1.1.068</x:v>
      </x:c>
      <x:c r="B69" s="20" t="n">
        <x:v>12</x:v>
      </x:c>
      <x:c r="C69" s="20" t="str">
        <x:v>Part One</x:v>
      </x:c>
      <x:c r="D69" s="20" t="str">
        <x:v>1.1</x:v>
      </x:c>
      <x:c r="E69" s="20" t="str">
        <x:v>Part One — Individual Simplifications</x:v>
      </x:c>
      <x:c r="F69" s="20" t="str">
        <x:v>4FC8 [UNUSED
H]</x:v>
      </x:c>
      <x:c r="G69" s="20" t="str">
        <x:v>俈</x:v>
      </x:c>
      <x:c r="H69" s="20" t="str">
        <x:v>靠</x:v>
      </x:c>
      <x:c r="I69" s="20" t="str">
        <x:v>kào</x:v>
      </x:c>
      <x:c r="J69" s="20" t="str">
        <x:v>9760 [TGH 1]
“lean against; keep to, get
near, come up to; near, by;
depend/rely on”</x:v>
      </x:c>
      <x:c r="K69" s="20" t="str"/>
      <x:c r="L69" s="20" t="str">
        <x:v>U+4FC8</x:v>
      </x:c>
      <x:c r="M69" s="20" t="str">
        <x:v>CJK Unified Ideographs</x:v>
      </x:c>
      <x:c r="N69" s="20" t="str">
        <x:v>Unicode code point recorded</x:v>
      </x:c>
      <x:c r="O69" s="20" t="str">
        <x:v>Low</x:v>
      </x:c>
      <x:c r="P69" s="20" t="str">
        <x:v>Structured</x:v>
      </x:c>
      <x:c r="Q69" s="20" t="str">
        <x:v>1.1.068 | 4FC8 [UNUSED / H] | 俈 | 靠 | kào | 9760 [TGH 1] / “lean against; keep to, get / near, come up to; near, by; / depend/rely on”</x:v>
      </x:c>
      <x:c r="R69" s="20" t="str">
        <x:v>Uploaded: n2924-SecondStageSimplificationStatusv3.pdf</x:v>
      </x:c>
    </x:row>
    <x:row r="70">
      <x:c r="A70" s="20" t="str">
        <x:v>1.1.069</x:v>
      </x:c>
      <x:c r="B70" s="20" t="n">
        <x:v>12</x:v>
      </x:c>
      <x:c r="C70" s="20" t="str">
        <x:v>Part One</x:v>
      </x:c>
      <x:c r="D70" s="20" t="str">
        <x:v>1.1</x:v>
      </x:c>
      <x:c r="E70" s="20" t="str">
        <x:v>Part One — Individual Simplifications</x:v>
      </x:c>
      <x:c r="F70" s="20" t="str">
        <x:v>2462F
[UNUSED]</x:v>
      </x:c>
      <x:c r="G70" s="20" t="str">
        <x:v>𤘯𤘯</x:v>
      </x:c>
      <x:c r="H70" s="20" t="str">
        <x:v>款</x:v>
      </x:c>
      <x:c r="I70" s="20" t="str">
        <x:v>kuǎn</x:v>
      </x:c>
      <x:c r="J70" s="20" t="str">
        <x:v>6B3E [TGH 1]
“a sum of money, fund;
item, clause (in document);
signature on inscription;
person of wealth,
moneybags; sincere; receive
with hospitality,
entertain; leisurely, slow”</x:v>
      </x:c>
      <x:c r="K70" s="20" t="str"/>
      <x:c r="L70" s="20" t="str">
        <x:v>U+2462F</x:v>
      </x:c>
      <x:c r="M70" s="20" t="str">
        <x:v>CJK Unified Ideographs Extension B</x:v>
      </x:c>
      <x:c r="N70" s="20" t="str">
        <x:v>Unicode code point recorded</x:v>
      </x:c>
      <x:c r="O70" s="20" t="str">
        <x:v>Low</x:v>
      </x:c>
      <x:c r="P70" s="20" t="str">
        <x:v>Structured</x:v>
      </x:c>
      <x:c r="Q70" s="20" t="str">
        <x:v>1.1.069 | 2462F / [UNUSED] | 𤘯𤘯 | 款 | kuǎn | 6B3E [TGH 1] / “a sum of money, fund; / item, clause (in document); / signature on inscription; / person of wealth, / moneybags; sincere; receive / with hospitality, / entertain; leisurely, slow”</x:v>
      </x:c>
      <x:c r="R70" s="20" t="str">
        <x:v>Uploaded: n2924-SecondStageSimplificationStatusv3.pdf</x:v>
      </x:c>
    </x:row>
    <x:row r="71">
      <x:c r="A71" s="20" t="str">
        <x:v>1.1.070</x:v>
      </x:c>
      <x:c r="B71" s="20" t="n">
        <x:v>12</x:v>
      </x:c>
      <x:c r="C71" s="20" t="str">
        <x:v>Part One</x:v>
      </x:c>
      <x:c r="D71" s="20" t="str">
        <x:v>1.1</x:v>
      </x:c>
      <x:c r="E71" s="20" t="str">
        <x:v>Part One — Individual Simplifications</x:v>
      </x:c>
      <x:c r="F71" s="20" t="str">
        <x:v>5170 [TGH 1]
“orchid;
fragrance; moral
excellence”</x:v>
      </x:c>
      <x:c r="G71" s="20" t="str">
        <x:v>兰</x:v>
      </x:c>
      <x:c r="H71" s="20" t="str">
        <x:v>蓝篮</x:v>
      </x:c>
      <x:c r="I71" s="20" t="str">
        <x:v>lán</x:v>
      </x:c>
      <x:c r="J71" s="20" t="str">
        <x:v>84DD [TGH 1]
“blue; indigo plant”
7BEE [TGH 1]
“basket; basketball
goal/basket; basketful,
basket”</x:v>
      </x:c>
      <x:c r="K71" s="20" t="str"/>
      <x:c r="L71" s="20" t="str">
        <x:v>U+5170</x:v>
      </x:c>
      <x:c r="M71" s="20" t="str">
        <x:v>CJK Unified Ideographs</x:v>
      </x:c>
      <x:c r="N71" s="20" t="str">
        <x:v>Unicode code point recorded</x:v>
      </x:c>
      <x:c r="O71" s="20" t="str">
        <x:v>Low</x:v>
      </x:c>
      <x:c r="P71" s="20" t="str">
        <x:v>Structured</x:v>
      </x:c>
      <x:c r="Q71" s="20" t="str">
        <x:v>1.1.070 | 5170 [TGH 1] / “orchid; / fragrance; moral / excellence” | 兰 | 蓝篮 | lán | 84DD [TGH 1] / “blue; indigo plant” / 7BEE [TGH 1] / “basket; basketball / goal/basket; basketful, / basket”</x:v>
      </x:c>
      <x:c r="R71" s="20" t="str">
        <x:v>Uploaded: n2924-SecondStageSimplificationStatusv3.pdf</x:v>
      </x:c>
    </x:row>
    <x:row r="72">
      <x:c r="A72" s="20" t="str">
        <x:v>1.1.071</x:v>
      </x:c>
      <x:c r="B72" s="20" t="n">
        <x:v>12</x:v>
      </x:c>
      <x:c r="C72" s="20" t="str">
        <x:v>Part One</x:v>
      </x:c>
      <x:c r="D72" s="20" t="str">
        <x:v>1.1</x:v>
      </x:c>
      <x:c r="E72" s="20" t="str">
        <x:v>Part One — Individual Simplifications</x:v>
      </x:c>
      <x:c r="F72" s="20" t="str">
        <x:v>3CD5 [UNUSED]</x:v>
      </x:c>
      <x:c r="G72" s="20" t="str">
        <x:v>㳕</x:v>
      </x:c>
      <x:c r="H72" s="20" t="str">
        <x:v>澜滥</x:v>
      </x:c>
      <x:c r="I72" s="20" t="str">
        <x:v>lán
làn</x:v>
      </x:c>
      <x:c r="J72" s="20" t="str">
        <x:v>6F9C [TGH 1]
“large waves”
6EE5 [TGH 1]
“overflow, flood;
immoderate, unscrupulous,
trite, superfluous”</x:v>
      </x:c>
      <x:c r="K72" s="20" t="str"/>
      <x:c r="L72" s="20" t="str">
        <x:v>U+3CD5</x:v>
      </x:c>
      <x:c r="M72" s="20" t="str">
        <x:v>CJK Unified Ideographs Extension A</x:v>
      </x:c>
      <x:c r="N72" s="20" t="str">
        <x:v>Unicode code point recorded</x:v>
      </x:c>
      <x:c r="O72" s="20" t="str">
        <x:v>Low</x:v>
      </x:c>
      <x:c r="P72" s="20" t="str">
        <x:v>Structured</x:v>
      </x:c>
      <x:c r="Q72" s="20" t="str">
        <x:v>1.1.071 | 3CD5 [UNUSED] | 㳕 | 澜滥 | lán / làn | 6F9C [TGH 1] / “large waves” / 6EE5 [TGH 1] / “overflow, flood; / immoderate, unscrupulous, / trite, superfluous”</x:v>
      </x:c>
      <x:c r="R72" s="20" t="str">
        <x:v>Uploaded: n2924-SecondStageSimplificationStatusv3.pdf</x:v>
      </x:c>
    </x:row>
    <x:row r="73">
      <x:c r="A73" s="20" t="str">
        <x:v>1.1.072</x:v>
      </x:c>
      <x:c r="B73" s="20" t="n">
        <x:v>12</x:v>
      </x:c>
      <x:c r="C73" s="20" t="str">
        <x:v>Part One</x:v>
      </x:c>
      <x:c r="D73" s="20" t="str">
        <x:v>1.1</x:v>
      </x:c>
      <x:c r="E73" s="20" t="str">
        <x:v>Part One — Individual Simplifications</x:v>
      </x:c>
      <x:c r="F73" s="20" t="str">
        <x:v>30D5F
(⿰讠兰)</x:v>
      </x:c>
      <x:c r="G73" s="20" t="str">
        <x:v>𰵟𰵟</x:v>
      </x:c>
      <x:c r="H73" s="20" t="str">
        <x:v>谰</x:v>
      </x:c>
      <x:c r="I73" s="20" t="str">
        <x:v>lán</x:v>
      </x:c>
      <x:c r="J73" s="20" t="str">
        <x:v>8C30 [TGH 2]
“slander”</x:v>
      </x:c>
      <x:c r="K73" s="20" t="str"/>
      <x:c r="L73" s="20" t="str">
        <x:v>U+30D5F</x:v>
      </x:c>
      <x:c r="M73" s="20" t="str">
        <x:v>CJK Unified Ideographs Extension G</x:v>
      </x:c>
      <x:c r="N73" s="20" t="str">
        <x:v>Encoded now — Extension G</x:v>
      </x:c>
      <x:c r="O73" s="20" t="str">
        <x:v>Low</x:v>
      </x:c>
      <x:c r="P73" s="20" t="str">
        <x:v>Structured</x:v>
      </x:c>
      <x:c r="Q73" s="20" t="str">
        <x:v>1.1.072 | 30D5F / (⿰讠兰) | 𰵟𰵟 | 谰 | lán | 8C30 [TGH 2] / “slander”</x:v>
      </x:c>
      <x:c r="R73" s="20" t="str">
        <x:v>Uploaded: n2924-SecondStageSimplificationStatusv3.pdf</x:v>
      </x:c>
    </x:row>
    <x:row r="74">
      <x:c r="A74" s="20" t="str">
        <x:v>1.1.073</x:v>
      </x:c>
      <x:c r="B74" s="20" t="n">
        <x:v>12</x:v>
      </x:c>
      <x:c r="C74" s="20" t="str">
        <x:v>Part One</x:v>
      </x:c>
      <x:c r="D74" s="20" t="str">
        <x:v>1.1</x:v>
      </x:c>
      <x:c r="E74" s="20" t="str">
        <x:v>Part One — Individual Simplifications</x:v>
      </x:c>
      <x:c r="F74" s="20" t="str">
        <x:v>30450
(⿰忄兰)</x:v>
      </x:c>
      <x:c r="G74" s="20" t="str">
        <x:v>𰑐𰑐</x:v>
      </x:c>
      <x:c r="H74" s="20" t="str">
        <x:v>懒</x:v>
      </x:c>
      <x:c r="I74" s="20" t="str">
        <x:v>lǎn</x:v>
      </x:c>
      <x:c r="J74" s="20" t="str">
        <x:v>61D2 [TGH 1]
“lazy; sluggish, languid”</x:v>
      </x:c>
      <x:c r="K74" s="20" t="str"/>
      <x:c r="L74" s="20" t="str">
        <x:v>U+30450</x:v>
      </x:c>
      <x:c r="M74" s="20" t="str">
        <x:v>CJK Unified Ideographs Extension G</x:v>
      </x:c>
      <x:c r="N74" s="20" t="str">
        <x:v>Encoded now — Extension G</x:v>
      </x:c>
      <x:c r="O74" s="20" t="str">
        <x:v>Low</x:v>
      </x:c>
      <x:c r="P74" s="20" t="str">
        <x:v>Structured</x:v>
      </x:c>
      <x:c r="Q74" s="20" t="str">
        <x:v>1.1.073 | 30450 / (⿰忄兰) | 𰑐𰑐 | 懒 | lǎn | 61D2 [TGH 1] / “lazy; sluggish, languid”</x:v>
      </x:c>
      <x:c r="R74" s="20" t="str">
        <x:v>Uploaded: n2924-SecondStageSimplificationStatusv3.pdf</x:v>
      </x:c>
    </x:row>
    <x:row r="75">
      <x:c r="A75" s="20" t="str">
        <x:v>1.1.074</x:v>
      </x:c>
      <x:c r="B75" s="20" t="n">
        <x:v>12</x:v>
      </x:c>
      <x:c r="C75" s="20" t="str">
        <x:v>Part One</x:v>
      </x:c>
      <x:c r="D75" s="20" t="str">
        <x:v>1.1</x:v>
      </x:c>
      <x:c r="E75" s="20" t="str">
        <x:v>Part One — Individual Simplifications</x:v>
      </x:c>
      <x:c r="F75" s="20" t="str">
        <x:v>30B0A
(⿰纟兰)</x:v>
      </x:c>
      <x:c r="G75" s="20" t="str">
        <x:v>𰬊𰬊</x:v>
      </x:c>
      <x:c r="H75" s="20" t="str">
        <x:v>缆</x:v>
      </x:c>
      <x:c r="I75" s="20" t="str">
        <x:v>lǎn</x:v>
      </x:c>
      <x:c r="J75" s="20" t="str">
        <x:v>7F06 [TGH 1]
“cable thick rope, hawser”</x:v>
      </x:c>
      <x:c r="K75" s="20" t="str"/>
      <x:c r="L75" s="20" t="str">
        <x:v>U+30B0A</x:v>
      </x:c>
      <x:c r="M75" s="20" t="str">
        <x:v>CJK Unified Ideographs Extension G</x:v>
      </x:c>
      <x:c r="N75" s="20" t="str">
        <x:v>Encoded now — Extension G</x:v>
      </x:c>
      <x:c r="O75" s="20" t="str">
        <x:v>Low</x:v>
      </x:c>
      <x:c r="P75" s="20" t="str">
        <x:v>Structured</x:v>
      </x:c>
      <x:c r="Q75" s="20" t="str">
        <x:v>1.1.074 | 30B0A / (⿰纟兰) | 𰬊𰬊 | 缆 | lǎn | 7F06 [TGH 1] / “cable thick rope, hawser”</x:v>
      </x:c>
      <x:c r="R75" s="20" t="str">
        <x:v>Uploaded: n2924-SecondStageSimplificationStatusv3.pdf</x:v>
      </x:c>
    </x:row>
    <x:row r="76">
      <x:c r="A76" s="20" t="str">
        <x:v>1.1.075</x:v>
      </x:c>
      <x:c r="B76" s="20" t="n">
        <x:v>12</x:v>
      </x:c>
      <x:c r="C76" s="20" t="str">
        <x:v>Part One</x:v>
      </x:c>
      <x:c r="D76" s="20" t="str">
        <x:v>1.1</x:v>
      </x:c>
      <x:c r="E76" s="20" t="str">
        <x:v>Part One — Individual Simplifications</x:v>
      </x:c>
      <x:c r="F76" s="20" t="str">
        <x:v>309AB
(⿱石双)</x:v>
      </x:c>
      <x:c r="G76" s="20" t="str">
        <x:v>𰦫𰦫</x:v>
      </x:c>
      <x:c r="H76" s="20" t="str">
        <x:v>磊</x:v>
      </x:c>
      <x:c r="I76" s="20" t="str">
        <x:v>lěi</x:v>
      </x:c>
      <x:c r="J76" s="20" t="str">
        <x:v>78CA [TGH 1]
“rampart”</x:v>
      </x:c>
      <x:c r="K76" s="20" t="str"/>
      <x:c r="L76" s="20" t="str">
        <x:v>U+309AB</x:v>
      </x:c>
      <x:c r="M76" s="20" t="str">
        <x:v>CJK Unified Ideographs Extension G</x:v>
      </x:c>
      <x:c r="N76" s="20" t="str">
        <x:v>Encoded now — Extension G</x:v>
      </x:c>
      <x:c r="O76" s="20" t="str">
        <x:v>Low</x:v>
      </x:c>
      <x:c r="P76" s="20" t="str">
        <x:v>Structured</x:v>
      </x:c>
      <x:c r="Q76" s="20" t="str">
        <x:v>1.1.075 | 309AB / (⿱石双) | 𰦫𰦫 | 磊 | lěi | 78CA [TGH 1] / “rampart”</x:v>
      </x:c>
      <x:c r="R76" s="20" t="str">
        <x:v>Uploaded: n2924-SecondStageSimplificationStatusv3.pdf</x:v>
      </x:c>
    </x:row>
    <x:row r="77">
      <x:c r="A77" s="20" t="str">
        <x:v>1.1.076</x:v>
      </x:c>
      <x:c r="B77" s="20" t="n">
        <x:v>12</x:v>
      </x:c>
      <x:c r="C77" s="20" t="str">
        <x:v>Part One</x:v>
      </x:c>
      <x:c r="D77" s="20" t="str">
        <x:v>1.1</x:v>
      </x:c>
      <x:c r="E77" s="20" t="str">
        <x:v>Part One — Individual Simplifications</x:v>
      </x:c>
      <x:c r="F77" s="20" t="str">
        <x:v>827B [UNUSED
H]</x:v>
      </x:c>
      <x:c r="G77" s="20" t="str">
        <x:v>艻</x:v>
      </x:c>
      <x:c r="H77" s="20" t="str">
        <x:v>荔</x:v>
      </x:c>
      <x:c r="I77" s="20" t="str">
        <x:v>lì</x:v>
      </x:c>
      <x:c r="J77" s="20" t="str">
        <x:v>8354 [TGH 1]
“lychee”</x:v>
      </x:c>
      <x:c r="K77" s="20" t="str"/>
      <x:c r="L77" s="20" t="str">
        <x:v>U+827B</x:v>
      </x:c>
      <x:c r="M77" s="20" t="str">
        <x:v>CJK Unified Ideographs</x:v>
      </x:c>
      <x:c r="N77" s="20" t="str">
        <x:v>Unicode code point recorded</x:v>
      </x:c>
      <x:c r="O77" s="20" t="str">
        <x:v>Low</x:v>
      </x:c>
      <x:c r="P77" s="20" t="str">
        <x:v>Structured</x:v>
      </x:c>
      <x:c r="Q77" s="20" t="str">
        <x:v>1.1.076 | 827B [UNUSED / H] | 艻 | 荔 | lì | 8354 [TGH 1] / “lychee”</x:v>
      </x:c>
      <x:c r="R77" s="20" t="str">
        <x:v>Uploaded: n2924-SecondStageSimplificationStatusv3.pdf</x:v>
      </x:c>
    </x:row>
    <x:row r="78">
      <x:c r="A78" s="20" t="str">
        <x:v>1.1.077</x:v>
      </x:c>
      <x:c r="B78" s="20" t="n">
        <x:v>12</x:v>
      </x:c>
      <x:c r="C78" s="20" t="str">
        <x:v>Part One</x:v>
      </x:c>
      <x:c r="D78" s="20" t="str">
        <x:v>1.1</x:v>
      </x:c>
      <x:c r="E78" s="20" t="str">
        <x:v>Part One — Individual Simplifications</x:v>
      </x:c>
      <x:c r="F78" s="20" t="str">
        <x:v>738F [UNUSED
H]</x:v>
      </x:c>
      <x:c r="G78" s="20" t="str">
        <x:v>玏</x:v>
      </x:c>
      <x:c r="H78" s="20" t="str">
        <x:v>璃</x:v>
      </x:c>
      <x:c r="I78" s="20" t="str">
        <x:v>lí</x:v>
      </x:c>
      <x:c r="J78" s="20" t="str">
        <x:v>7483 [TGH 1]
【 】bōli “glass; nylon,
玻璃
plastic”</x:v>
      </x:c>
      <x:c r="K78" s="20" t="str"/>
      <x:c r="L78" s="20" t="str">
        <x:v>U+738F</x:v>
      </x:c>
      <x:c r="M78" s="20" t="str">
        <x:v>CJK Unified Ideographs</x:v>
      </x:c>
      <x:c r="N78" s="20" t="str">
        <x:v>Unicode code point recorded</x:v>
      </x:c>
      <x:c r="O78" s="20" t="str">
        <x:v>Low</x:v>
      </x:c>
      <x:c r="P78" s="20" t="str">
        <x:v>Structured</x:v>
      </x:c>
      <x:c r="Q78" s="20" t="str">
        <x:v>1.1.077 | 738F [UNUSED / H] | 玏 | 璃 | lí | 7483 [TGH 1] / 【 】bōli “glass; nylon, / 玻璃 / plastic”</x:v>
      </x:c>
      <x:c r="R78" s="20" t="str">
        <x:v>Uploaded: n2924-SecondStageSimplificationStatusv3.pdf</x:v>
      </x:c>
    </x:row>
    <x:row r="79">
      <x:c r="A79" s="20" t="str">
        <x:v>1.1.078</x:v>
      </x:c>
      <x:c r="B79" s="20" t="n">
        <x:v>13</x:v>
      </x:c>
      <x:c r="C79" s="20" t="str">
        <x:v>Part One</x:v>
      </x:c>
      <x:c r="D79" s="20" t="str">
        <x:v>1.1</x:v>
      </x:c>
      <x:c r="E79" s="20" t="str">
        <x:v>Part One — Individual Simplifications</x:v>
      </x:c>
      <x:c r="F79" s="20" t="str">
        <x:v>3014A
(⿱旦力)</x:v>
      </x:c>
      <x:c r="G79" s="20" t="str">
        <x:v>𰅊𰅊</x:v>
      </x:c>
      <x:c r="H79" s="20" t="str">
        <x:v>量</x:v>
      </x:c>
      <x:c r="I79" s="20" t="str">
        <x:v>liáng,
liàng</x:v>
      </x:c>
      <x:c r="J79" s="20" t="str">
        <x:v>91CF [TGH 1]
liáng
“measure; consider”
liàng
“quantity, amount, volume;
capacity; estimate,
measure”</x:v>
      </x:c>
      <x:c r="K79" s="20" t="str"/>
      <x:c r="L79" s="20" t="str">
        <x:v>U+3014A</x:v>
      </x:c>
      <x:c r="M79" s="20" t="str">
        <x:v>CJK Unified Ideographs Extension G</x:v>
      </x:c>
      <x:c r="N79" s="20" t="str">
        <x:v>Encoded now — Extension G</x:v>
      </x:c>
      <x:c r="O79" s="20" t="str">
        <x:v>Low</x:v>
      </x:c>
      <x:c r="P79" s="20" t="str">
        <x:v>Structured</x:v>
      </x:c>
      <x:c r="Q79" s="20" t="str">
        <x:v>1.1.078 | 3014A / (⿱旦力) | 𰅊𰅊 | 量 | liáng, / liàng | 91CF [TGH 1] / liáng / “measure; consider” / liàng / “quantity, amount, volume; / capacity; estimate, / measure”</x:v>
      </x:c>
      <x:c r="R79" s="20" t="str">
        <x:v>Uploaded: n2924-SecondStageSimplificationStatusv3.pdf</x:v>
      </x:c>
    </x:row>
    <x:row r="80">
      <x:c r="A80" s="20" t="str">
        <x:v>1.1.079</x:v>
      </x:c>
      <x:c r="B80" s="20" t="n">
        <x:v>13</x:v>
      </x:c>
      <x:c r="C80" s="20" t="str">
        <x:v>Part One</x:v>
      </x:c>
      <x:c r="D80" s="20" t="str">
        <x:v>1.1</x:v>
      </x:c>
      <x:c r="E80" s="20" t="str">
        <x:v>Part One — Individual Simplifications</x:v>
      </x:c>
      <x:c r="F80" s="20" t="str">
        <x:v>4E86 [TGH 1]
le
indicating a new
situation;
indicating
completed action
liǎo
“end, finish,
settle, dispose
of”</x:v>
      </x:c>
      <x:c r="G80" s="20" t="str">
        <x:v>了</x:v>
      </x:c>
      <x:c r="H80" s="20" t="str">
        <x:v>潦</x:v>
      </x:c>
      <x:c r="I80" s="20" t="str">
        <x:v>liáo</x:v>
      </x:c>
      <x:c r="J80" s="20" t="str">
        <x:v>6F66 [TGH 2]
“hasty, roughly executed”</x:v>
      </x:c>
      <x:c r="K80" s="20" t="str"/>
      <x:c r="L80" s="20" t="str">
        <x:v>U+4E86</x:v>
      </x:c>
      <x:c r="M80" s="20" t="str">
        <x:v>CJK Unified Ideographs</x:v>
      </x:c>
      <x:c r="N80" s="20" t="str">
        <x:v>Unicode code point recorded</x:v>
      </x:c>
      <x:c r="O80" s="20" t="str">
        <x:v>Low</x:v>
      </x:c>
      <x:c r="P80" s="20" t="str">
        <x:v>Structured</x:v>
      </x:c>
      <x:c r="Q80" s="20" t="str">
        <x:v>1.1.079 | 4E86 [TGH 1] / le / indicating a new / situation; / indicating / completed action / liǎo / “end, finish, / settle, dispose / of” | 了 | 潦 | liáo | 6F66 [TGH 2] / “hasty, roughly executed”</x:v>
      </x:c>
      <x:c r="R80" s="20" t="str">
        <x:v>Uploaded: n2924-SecondStageSimplificationStatusv3.pdf</x:v>
      </x:c>
    </x:row>
    <x:row r="81">
      <x:c r="A81" s="20" t="str">
        <x:v>1.1.080</x:v>
      </x:c>
      <x:c r="B81" s="20" t="n">
        <x:v>13</x:v>
      </x:c>
      <x:c r="C81" s="20" t="str">
        <x:v>Part One</x:v>
      </x:c>
      <x:c r="D81" s="20" t="str">
        <x:v>1.1</x:v>
      </x:c>
      <x:c r="E81" s="20" t="str">
        <x:v>Part One — Individual Simplifications</x:v>
      </x:c>
      <x:c r="F81" s="20" t="str">
        <x:v>201A8
[UNUSED]</x:v>
      </x:c>
      <x:c r="G81" s="20" t="str">
        <x:v>𠆨𠆨</x:v>
      </x:c>
      <x:c r="H81" s="20" t="str">
        <x:v>僚</x:v>
      </x:c>
      <x:c r="I81" s="20" t="str">
        <x:v>liáo</x:v>
      </x:c>
      <x:c r="J81" s="20" t="str">
        <x:v>50DA [TGH 1]
“official, colleague”</x:v>
      </x:c>
      <x:c r="K81" s="20" t="str"/>
      <x:c r="L81" s="20" t="str">
        <x:v>U+201A8</x:v>
      </x:c>
      <x:c r="M81" s="20" t="str">
        <x:v>CJK Unified Ideographs Extension B</x:v>
      </x:c>
      <x:c r="N81" s="20" t="str">
        <x:v>Unicode code point recorded</x:v>
      </x:c>
      <x:c r="O81" s="20" t="str">
        <x:v>Low</x:v>
      </x:c>
      <x:c r="P81" s="20" t="str">
        <x:v>Structured</x:v>
      </x:c>
      <x:c r="Q81" s="20" t="str">
        <x:v>1.1.080 | 201A8 / [UNUSED] | 𠆨𠆨 | 僚 | liáo | 50DA [TGH 1] / “official, colleague”</x:v>
      </x:c>
      <x:c r="R81" s="20" t="str">
        <x:v>Uploaded: n2924-SecondStageSimplificationStatusv3.pdf</x:v>
      </x:c>
    </x:row>
    <x:row r="82">
      <x:c r="A82" s="20" t="str">
        <x:v>1.1.081</x:v>
      </x:c>
      <x:c r="B82" s="20" t="n">
        <x:v>13</x:v>
      </x:c>
      <x:c r="C82" s="20" t="str">
        <x:v>Part One</x:v>
      </x:c>
      <x:c r="D82" s="20" t="str">
        <x:v>1.1</x:v>
      </x:c>
      <x:c r="E82" s="20" t="str">
        <x:v>Part One — Individual Simplifications</x:v>
      </x:c>
      <x:c r="F82" s="20" t="str">
        <x:v>30776
(⿰火了)</x:v>
      </x:c>
      <x:c r="G82" s="20" t="str">
        <x:v>𰝶𰝶</x:v>
      </x:c>
      <x:c r="H82" s="20" t="str">
        <x:v>燎</x:v>
      </x:c>
      <x:c r="I82" s="20" t="str">
        <x:v>liáo,
liǎo</x:v>
      </x:c>
      <x:c r="J82" s="20" t="str">
        <x:v>71CE [TGH 2]
liáo
“burn”
liǎo
“singe”</x:v>
      </x:c>
      <x:c r="K82" s="20" t="str"/>
      <x:c r="L82" s="20" t="str">
        <x:v>U+30776</x:v>
      </x:c>
      <x:c r="M82" s="20" t="str">
        <x:v>CJK Unified Ideographs Extension G</x:v>
      </x:c>
      <x:c r="N82" s="20" t="str">
        <x:v>Encoded now — Extension G</x:v>
      </x:c>
      <x:c r="O82" s="20" t="str">
        <x:v>Low</x:v>
      </x:c>
      <x:c r="P82" s="20" t="str">
        <x:v>Structured</x:v>
      </x:c>
      <x:c r="Q82" s="20" t="str">
        <x:v>1.1.081 | 30776 / (⿰火了) | 𰝶𰝶 | 燎 | liáo, / liǎo | 71CE [TGH 2] / liáo / “burn” / liǎo / “singe”</x:v>
      </x:c>
      <x:c r="R82" s="20" t="str">
        <x:v>Uploaded: n2924-SecondStageSimplificationStatusv3.pdf</x:v>
      </x:c>
    </x:row>
    <x:row r="83">
      <x:c r="A83" s="20" t="str">
        <x:v>1.1.082</x:v>
      </x:c>
      <x:c r="B83" s="20" t="n">
        <x:v>13</x:v>
      </x:c>
      <x:c r="C83" s="20" t="str">
        <x:v>Part One</x:v>
      </x:c>
      <x:c r="D83" s="20" t="str">
        <x:v>1.1</x:v>
      </x:c>
      <x:c r="E83" s="20" t="str">
        <x:v>Part One — Individual Simplifications</x:v>
      </x:c>
      <x:c r="F83" s="20" t="str">
        <x:v>374B [UNUSED]</x:v>
      </x:c>
      <x:c r="G83" s="20" t="str">
        <x:v>㝋</x:v>
      </x:c>
      <x:c r="H83" s="20" t="str">
        <x:v>寮寥</x:v>
      </x:c>
      <x:c r="I83" s="20" t="str">
        <x:v>liáo</x:v>
      </x:c>
      <x:c r="J83" s="20" t="str">
        <x:v>5BEE [TGH 2]
“small house, hut; Laos”
5BE5 [TGH 1]
“scanty, sparse; silent,
deserted”</x:v>
      </x:c>
      <x:c r="K83" s="20" t="str"/>
      <x:c r="L83" s="20" t="str">
        <x:v>U+374B</x:v>
      </x:c>
      <x:c r="M83" s="20" t="str">
        <x:v>CJK Unified Ideographs Extension A</x:v>
      </x:c>
      <x:c r="N83" s="20" t="str">
        <x:v>Unicode code point recorded</x:v>
      </x:c>
      <x:c r="O83" s="20" t="str">
        <x:v>Low</x:v>
      </x:c>
      <x:c r="P83" s="20" t="str">
        <x:v>Structured</x:v>
      </x:c>
      <x:c r="Q83" s="20" t="str">
        <x:v>1.1.082 | 374B [UNUSED] | 㝋 | 寮寥 | liáo | 5BEE [TGH 2] / “small house, hut; Laos” / 5BE5 [TGH 1] / “scanty, sparse; silent, / deserted”</x:v>
      </x:c>
      <x:c r="R83" s="20" t="str">
        <x:v>Uploaded: n2924-SecondStageSimplificationStatusv3.pdf</x:v>
      </x:c>
    </x:row>
    <x:row r="84">
      <x:c r="A84" s="20" t="str">
        <x:v>1.1.083</x:v>
      </x:c>
      <x:c r="B84" s="20" t="n">
        <x:v>13</x:v>
      </x:c>
      <x:c r="C84" s="20" t="str">
        <x:v>Part One</x:v>
      </x:c>
      <x:c r="D84" s="20" t="str">
        <x:v>1.1</x:v>
      </x:c>
      <x:c r="E84" s="20" t="str">
        <x:v>Part One — Individual Simplifications</x:v>
      </x:c>
      <x:c r="F84" s="20" t="str">
        <x:v>2D64F
[UNUSED]</x:v>
      </x:c>
      <x:c r="G84" s="20" t="str">
        <x:v>𭙏𭙏</x:v>
      </x:c>
      <x:c r="H84" s="20" t="str">
        <x:v>廖</x:v>
      </x:c>
      <x:c r="I84" s="20" t="str">
        <x:v>liào</x:v>
      </x:c>
      <x:c r="J84" s="20" t="str">
        <x:v>5ED6 [TGH 2]
A surname</x:v>
      </x:c>
      <x:c r="K84" s="20" t="str"/>
      <x:c r="L84" s="20" t="str">
        <x:v>U+2D64F</x:v>
      </x:c>
      <x:c r="M84" s="20" t="str">
        <x:v>CJK Unified Ideographs Extension F</x:v>
      </x:c>
      <x:c r="N84" s="20" t="str">
        <x:v>Unicode code point recorded</x:v>
      </x:c>
      <x:c r="O84" s="20" t="str">
        <x:v>Low</x:v>
      </x:c>
      <x:c r="P84" s="20" t="str">
        <x:v>Structured</x:v>
      </x:c>
      <x:c r="Q84" s="20" t="str">
        <x:v>1.1.083 | 2D64F / [UNUSED] | 𭙏𭙏 | 廖 | liào | 5ED6 [TGH 2] / A surname</x:v>
      </x:c>
      <x:c r="R84" s="20" t="str">
        <x:v>Uploaded: n2924-SecondStageSimplificationStatusv3.pdf</x:v>
      </x:c>
    </x:row>
    <x:row r="85">
      <x:c r="A85" s="20" t="str">
        <x:v>1.1.084</x:v>
      </x:c>
      <x:c r="B85" s="20" t="n">
        <x:v>13</x:v>
      </x:c>
      <x:c r="C85" s="20" t="str">
        <x:v>Part One</x:v>
      </x:c>
      <x:c r="D85" s="20" t="str">
        <x:v>1.1</x:v>
      </x:c>
      <x:c r="E85" s="20" t="str">
        <x:v>Part One — Individual Simplifications</x:v>
      </x:c>
      <x:c r="F85" s="20" t="str">
        <x:v>7831 [UNUSED
HMT]</x:v>
      </x:c>
      <x:c r="G85" s="20" t="str">
        <x:v>砱</x:v>
      </x:c>
      <x:c r="H85" s="20" t="str">
        <x:v>磷</x:v>
      </x:c>
      <x:c r="I85" s="20" t="str">
        <x:v>lín</x:v>
      </x:c>
      <x:c r="J85" s="20" t="str">
        <x:v>78F7 [TGH 1]
“phosphorus”</x:v>
      </x:c>
      <x:c r="K85" s="20" t="str"/>
      <x:c r="L85" s="20" t="str">
        <x:v>U+7831</x:v>
      </x:c>
      <x:c r="M85" s="20" t="str">
        <x:v>CJK Unified Ideographs</x:v>
      </x:c>
      <x:c r="N85" s="20" t="str">
        <x:v>Unicode code point recorded</x:v>
      </x:c>
      <x:c r="O85" s="20" t="str">
        <x:v>Low</x:v>
      </x:c>
      <x:c r="P85" s="20" t="str">
        <x:v>Structured</x:v>
      </x:c>
      <x:c r="Q85" s="20" t="str">
        <x:v>1.1.084 | 7831 [UNUSED / HMT] | 砱 | 磷 | lín | 78F7 [TGH 1] / “phosphorus”</x:v>
      </x:c>
      <x:c r="R85" s="20" t="str">
        <x:v>Uploaded: n2924-SecondStageSimplificationStatusv3.pdf</x:v>
      </x:c>
    </x:row>
    <x:row r="86">
      <x:c r="A86" s="20" t="str">
        <x:v>1.1.085</x:v>
      </x:c>
      <x:c r="B86" s="20" t="n">
        <x:v>13</x:v>
      </x:c>
      <x:c r="C86" s="20" t="str">
        <x:v>Part One</x:v>
      </x:c>
      <x:c r="D86" s="20" t="str">
        <x:v>1.1</x:v>
      </x:c>
      <x:c r="E86" s="20" t="str">
        <x:v>Part One — Individual Simplifications</x:v>
      </x:c>
      <x:c r="F86" s="20" t="str">
        <x:v>4EE4 [TGH 1]
líng
【 】 Línghú a
令狐
place name, a
surname
lǐng
“reams (of
paper)”</x:v>
      </x:c>
      <x:c r="G86" s="20" t="str">
        <x:v>令</x:v>
      </x:c>
      <x:c r="H86" s="20" t="str">
        <x:v>龄</x:v>
      </x:c>
      <x:c r="I86" s="20" t="str">
        <x:v>líng</x:v>
      </x:c>
      <x:c r="J86" s="20" t="str">
        <x:v>9F84 [TGH 1]
“age, years”</x:v>
      </x:c>
      <x:c r="K86" s="20" t="str"/>
      <x:c r="L86" s="20" t="str">
        <x:v>U+4EE4</x:v>
      </x:c>
      <x:c r="M86" s="20" t="str">
        <x:v>CJK Unified Ideographs</x:v>
      </x:c>
      <x:c r="N86" s="20" t="str">
        <x:v>Unicode code point recorded</x:v>
      </x:c>
      <x:c r="O86" s="20" t="str">
        <x:v>Low</x:v>
      </x:c>
      <x:c r="P86" s="20" t="str">
        <x:v>Structured</x:v>
      </x:c>
      <x:c r="Q86" s="20" t="str">
        <x:v>1.1.085 | 4EE4 [TGH 1] / líng / 【 】 Línghú a / 令狐 / place name, a / surname / lǐng / “reams (of / paper)” | 令 | 龄 | líng | 9F84 [TGH 1] / “age, years”</x:v>
      </x:c>
      <x:c r="R86" s="20" t="str">
        <x:v>Uploaded: n2924-SecondStageSimplificationStatusv3.pdf</x:v>
      </x:c>
    </x:row>
    <x:row r="87">
      <x:c r="A87" s="20" t="str">
        <x:v>1.1.086</x:v>
      </x:c>
      <x:c r="B87" s="20" t="n">
        <x:v>14</x:v>
      </x:c>
      <x:c r="C87" s="20" t="str">
        <x:v>Part One</x:v>
      </x:c>
      <x:c r="D87" s="20" t="str">
        <x:v>1.1</x:v>
      </x:c>
      <x:c r="E87" s="20" t="str">
        <x:v>Part One — Individual Simplifications</x:v>
      </x:c>
      <x:c r="F87" s="20" t="str">
        <x:v>30708
(⿰氵畄)</x:v>
      </x:c>
      <x:c r="G87" s="20" t="str">
        <x:v>𰜈𰜈</x:v>
      </x:c>
      <x:c r="H87" s="20" t="str">
        <x:v>溜
遛
熘
馏</x:v>
      </x:c>
      <x:c r="I87" s="20" t="str">
        <x:v>liū,
liù
liù
liū
liú,
liù</x:v>
      </x:c>
      <x:c r="J87" s="20" t="str">
        <x:v>6E9C [TGH 1]
liū
“slide, glide; sneak off,
slip away; stroll; smooth”
liù
“swift current; rainwater
from the roof; roof gutter;
row, surroundings,
neighborhood; dexterous,
adept, skillful, fluent”
905B [TGH 2]
“saunter, stroll; fill
(fissure/etc.)”
7198 [TGH 2]
“quick fry”
998F [TGH 1]
liú
“distill”
liù
“heat in a steamer”</x:v>
      </x:c>
      <x:c r="K87" s="20" t="str"/>
      <x:c r="L87" s="20" t="str">
        <x:v>U+30708</x:v>
      </x:c>
      <x:c r="M87" s="20" t="str">
        <x:v>CJK Unified Ideographs Extension G</x:v>
      </x:c>
      <x:c r="N87" s="20" t="str">
        <x:v>Encoded now — Extension G</x:v>
      </x:c>
      <x:c r="O87" s="20" t="str">
        <x:v>Low</x:v>
      </x:c>
      <x:c r="P87" s="20" t="str">
        <x:v>Structured</x:v>
      </x:c>
      <x:c r="Q87" s="20" t="str">
        <x:v>1.1.086 | 30708 / (⿰氵畄) | 𰜈𰜈 | 溜 / 遛 / 熘 / 馏 | liū, / liù / liù / liū / liú, / liù | 6E9C [TGH 1] / liū / “slide, glide; sneak off, / slip away; stroll; smooth” / liù / “swift current; rainwater / from the roof; roof gutter; / row, surroundings, / neighborhood; dexterous, / adept, skillful, fluent” / 905B [TGH 2] / “saunter, stroll; fill / (fissure/etc.)” / 7198 [TGH 2] / “quick fry” / 998F [TGH 1] / liú / “distill” / liù / “heat in a steamer”</x:v>
      </x:c>
      <x:c r="R87" s="20" t="str">
        <x:v>Uploaded: n2924-SecondStageSimplificationStatusv3.pdf</x:v>
      </x:c>
    </x:row>
    <x:row r="88">
      <x:c r="A88" s="20" t="str">
        <x:v>1.1.087</x:v>
      </x:c>
      <x:c r="B88" s="20" t="n">
        <x:v>14</x:v>
      </x:c>
      <x:c r="C88" s="20" t="str">
        <x:v>Part One</x:v>
      </x:c>
      <x:c r="D88" s="20" t="str">
        <x:v>1.1</x:v>
      </x:c>
      <x:c r="E88" s="20" t="str">
        <x:v>Part One — Individual Simplifications</x:v>
      </x:c>
      <x:c r="F88" s="20" t="str">
        <x:v>864F [TGH 1]
“capture,
imprison;
plunder, rob”</x:v>
      </x:c>
      <x:c r="G88" s="20" t="str">
        <x:v>虏</x:v>
      </x:c>
      <x:c r="H88" s="20" t="str">
        <x:v>掳</x:v>
      </x:c>
      <x:c r="I88" s="20" t="str">
        <x:v>lǔ</x:v>
      </x:c>
      <x:c r="J88" s="20" t="str">
        <x:v>63B3 [TGH 2]
“capture, prisoner; loot”</x:v>
      </x:c>
      <x:c r="K88" s="20" t="str"/>
      <x:c r="L88" s="20" t="str">
        <x:v>U+864F</x:v>
      </x:c>
      <x:c r="M88" s="20" t="str">
        <x:v>CJK Unified Ideographs</x:v>
      </x:c>
      <x:c r="N88" s="20" t="str">
        <x:v>Unicode code point recorded</x:v>
      </x:c>
      <x:c r="O88" s="20" t="str">
        <x:v>Low</x:v>
      </x:c>
      <x:c r="P88" s="20" t="str">
        <x:v>Structured</x:v>
      </x:c>
      <x:c r="Q88" s="20" t="str">
        <x:v>1.1.087 | 864F [TGH 1] / “capture, / imprison; / plunder, rob” | 虏 | 掳 | lǔ | 63B3 [TGH 2] / “capture, prisoner; loot”</x:v>
      </x:c>
      <x:c r="R88" s="20" t="str">
        <x:v>Uploaded: n2924-SecondStageSimplificationStatusv3.pdf</x:v>
      </x:c>
    </x:row>
    <x:row r="89">
      <x:c r="A89" s="20" t="str">
        <x:v>1.1.088</x:v>
      </x:c>
      <x:c r="B89" s="20" t="n">
        <x:v>14</x:v>
      </x:c>
      <x:c r="C89" s="20" t="str">
        <x:v>Part One</x:v>
      </x:c>
      <x:c r="D89" s="20" t="str">
        <x:v>1.1</x:v>
      </x:c>
      <x:c r="E89" s="20" t="str">
        <x:v>Part One — Individual Simplifications</x:v>
      </x:c>
      <x:c r="F89" s="20" t="str">
        <x:v>2D70C
[UNUSED]</x:v>
      </x:c>
      <x:c r="G89" s="20" t="str">
        <x:v>𭜌𭜌</x:v>
      </x:c>
      <x:c r="H89" s="20" t="str">
        <x:v>慢</x:v>
      </x:c>
      <x:c r="I89" s="20" t="str">
        <x:v>màn</x:v>
      </x:c>
      <x:c r="J89" s="20" t="str">
        <x:v>6162 [TGH 1]
“slow; supercilious, rude;
postpone, defer”</x:v>
      </x:c>
      <x:c r="K89" s="20" t="str"/>
      <x:c r="L89" s="20" t="str">
        <x:v>U+2D70C</x:v>
      </x:c>
      <x:c r="M89" s="20" t="str">
        <x:v>CJK Unified Ideographs Extension F</x:v>
      </x:c>
      <x:c r="N89" s="20" t="str">
        <x:v>Unicode code point recorded</x:v>
      </x:c>
      <x:c r="O89" s="20" t="str">
        <x:v>Low</x:v>
      </x:c>
      <x:c r="P89" s="20" t="str">
        <x:v>Structured</x:v>
      </x:c>
      <x:c r="Q89" s="20" t="str">
        <x:v>1.1.088 | 2D70C / [UNUSED] | 𭜌𭜌 | 慢 | màn | 6162 [TGH 1] / “slow; supercilious, rude; / postpone, defer”</x:v>
      </x:c>
      <x:c r="R89" s="20" t="str">
        <x:v>Uploaded: n2924-SecondStageSimplificationStatusv3.pdf</x:v>
      </x:c>
    </x:row>
    <x:row r="90">
      <x:c r="A90" s="20" t="str">
        <x:v>1.1.089</x:v>
      </x:c>
      <x:c r="B90" s="20" t="n">
        <x:v>14</x:v>
      </x:c>
      <x:c r="C90" s="20" t="str">
        <x:v>Part One</x:v>
      </x:c>
      <x:c r="D90" s="20" t="str">
        <x:v>1.1</x:v>
      </x:c>
      <x:c r="E90" s="20" t="str">
        <x:v>Part One — Individual Simplifications</x:v>
      </x:c>
      <x:c r="F90" s="20" t="str">
        <x:v>2BDC0
[UNUSED]</x:v>
      </x:c>
      <x:c r="G90" s="20" t="str">
        <x:v>𫷀𫷀</x:v>
      </x:c>
      <x:c r="H90" s="20" t="str">
        <x:v>帽</x:v>
      </x:c>
      <x:c r="I90" s="20" t="str">
        <x:v>mào</x:v>
      </x:c>
      <x:c r="J90" s="20" t="str">
        <x:v>5E3D [TGH 1]
“headgear, hat, cap; cap-
like cover”</x:v>
      </x:c>
      <x:c r="K90" s="20" t="str"/>
      <x:c r="L90" s="20" t="str">
        <x:v>U+2BDC0</x:v>
      </x:c>
      <x:c r="M90" s="20" t="str">
        <x:v>CJK Unified Ideographs Extension E</x:v>
      </x:c>
      <x:c r="N90" s="20" t="str">
        <x:v>Unicode code point recorded</x:v>
      </x:c>
      <x:c r="O90" s="20" t="str">
        <x:v>Low</x:v>
      </x:c>
      <x:c r="P90" s="20" t="str">
        <x:v>Structured</x:v>
      </x:c>
      <x:c r="Q90" s="20" t="str">
        <x:v>1.1.089 | 2BDC0 / [UNUSED] | 𫷀𫷀 | 帽 | mào | 5E3D [TGH 1] / “headgear, hat, cap; cap- / like cover”</x:v>
      </x:c>
      <x:c r="R90" s="20" t="str">
        <x:v>Uploaded: n2924-SecondStageSimplificationStatusv3.pdf</x:v>
      </x:c>
    </x:row>
    <x:row r="91">
      <x:c r="A91" s="20" t="str">
        <x:v>1.1.090</x:v>
      </x:c>
      <x:c r="B91" s="20" t="n">
        <x:v>14</x:v>
      </x:c>
      <x:c r="C91" s="20" t="str">
        <x:v>Part One</x:v>
      </x:c>
      <x:c r="D91" s="20" t="str">
        <x:v>1.1</x:v>
      </x:c>
      <x:c r="E91" s="20" t="str">
        <x:v>Part One — Individual Simplifications</x:v>
      </x:c>
      <x:c r="F91" s="20" t="str">
        <x:v>7683 [UNUSED
J]</x:v>
      </x:c>
      <x:c r="G91" s="20" t="str">
        <x:v>皃</x:v>
      </x:c>
      <x:c r="H91" s="20" t="str">
        <x:v>貌</x:v>
      </x:c>
      <x:c r="I91" s="20" t="str">
        <x:v>mào</x:v>
      </x:c>
      <x:c r="J91" s="20" t="str">
        <x:v>8C8C [TGH 1]
“appearance, aspect”</x:v>
      </x:c>
      <x:c r="K91" s="20" t="str"/>
      <x:c r="L91" s="20" t="str">
        <x:v>U+7683</x:v>
      </x:c>
      <x:c r="M91" s="20" t="str">
        <x:v>CJK Unified Ideographs</x:v>
      </x:c>
      <x:c r="N91" s="20" t="str">
        <x:v>Unicode code point recorded</x:v>
      </x:c>
      <x:c r="O91" s="20" t="str">
        <x:v>Low</x:v>
      </x:c>
      <x:c r="P91" s="20" t="str">
        <x:v>Structured</x:v>
      </x:c>
      <x:c r="Q91" s="20" t="str">
        <x:v>1.1.090 | 7683 [UNUSED / J] | 皃 | 貌 | mào | 8C8C [TGH 1] / “appearance, aspect”</x:v>
      </x:c>
      <x:c r="R91" s="20" t="str">
        <x:v>Uploaded: n2924-SecondStageSimplificationStatusv3.pdf</x:v>
      </x:c>
    </x:row>
    <x:row r="92">
      <x:c r="A92" s="20" t="str">
        <x:v>1.1.091</x:v>
      </x:c>
      <x:c r="B92" s="20" t="n">
        <x:v>14</x:v>
      </x:c>
      <x:c r="C92" s="20" t="str">
        <x:v>Part One</x:v>
      </x:c>
      <x:c r="D92" s="20" t="str">
        <x:v>1.1</x:v>
      </x:c>
      <x:c r="E92" s="20" t="str">
        <x:v>Part One — Individual Simplifications</x:v>
      </x:c>
      <x:c r="F92" s="20" t="str">
        <x:v>2DCFF
[UNUSED]</x:v>
      </x:c>
      <x:c r="G92" s="20" t="str">
        <x:v>𭳿𭳿</x:v>
      </x:c>
      <x:c r="H92" s="20" t="str">
        <x:v>煤</x:v>
      </x:c>
      <x:c r="I92" s="20" t="str">
        <x:v>méi</x:v>
      </x:c>
      <x:c r="J92" s="20" t="str">
        <x:v>7164 [TGH 1]
“coal”</x:v>
      </x:c>
      <x:c r="K92" s="20" t="str"/>
      <x:c r="L92" s="20" t="str">
        <x:v>U+2DCFF</x:v>
      </x:c>
      <x:c r="M92" s="20" t="str">
        <x:v>CJK Unified Ideographs Extension F</x:v>
      </x:c>
      <x:c r="N92" s="20" t="str">
        <x:v>Unicode code point recorded</x:v>
      </x:c>
      <x:c r="O92" s="20" t="str">
        <x:v>Low</x:v>
      </x:c>
      <x:c r="P92" s="20" t="str">
        <x:v>Structured</x:v>
      </x:c>
      <x:c r="Q92" s="20" t="str">
        <x:v>1.1.091 | 2DCFF / [UNUSED] | 𭳿𭳿 | 煤 | méi | 7164 [TGH 1] / “coal”</x:v>
      </x:c>
      <x:c r="R92" s="20" t="str">
        <x:v>Uploaded: n2924-SecondStageSimplificationStatusv3.pdf</x:v>
      </x:c>
    </x:row>
    <x:row r="93">
      <x:c r="A93" s="20" t="str">
        <x:v>1.1.092</x:v>
      </x:c>
      <x:c r="B93" s="20" t="n">
        <x:v>14</x:v>
      </x:c>
      <x:c r="C93" s="20" t="str">
        <x:v>Part One</x:v>
      </x:c>
      <x:c r="D93" s="20" t="str">
        <x:v>1.1</x:v>
      </x:c>
      <x:c r="E93" s="20" t="str">
        <x:v>Part One — Individual Simplifications</x:v>
      </x:c>
      <x:c r="F93" s="20" t="str">
        <x:v>2BBDC
[UNUSED]</x:v>
      </x:c>
      <x:c r="G93" s="20" t="str">
        <x:v>𫯜𫯜</x:v>
      </x:c>
      <x:c r="H93" s="20" t="str">
        <x:v>幕</x:v>
      </x:c>
      <x:c r="I93" s="20" t="str">
        <x:v>mù</x:v>
      </x:c>
      <x:c r="J93" s="20" t="str">
        <x:v>5E55 [TGH 1]
“curtain, screen, tent;
office of a commanding
general; act”</x:v>
      </x:c>
      <x:c r="K93" s="20" t="str"/>
      <x:c r="L93" s="20" t="str">
        <x:v>U+2BBDC</x:v>
      </x:c>
      <x:c r="M93" s="20" t="str">
        <x:v>CJK Unified Ideographs Extension E</x:v>
      </x:c>
      <x:c r="N93" s="20" t="str">
        <x:v>Unicode code point recorded</x:v>
      </x:c>
      <x:c r="O93" s="20" t="str">
        <x:v>Low</x:v>
      </x:c>
      <x:c r="P93" s="20" t="str">
        <x:v>Structured</x:v>
      </x:c>
      <x:c r="Q93" s="20" t="str">
        <x:v>1.1.092 | 2BBDC / [UNUSED] | 𫯜𫯜 | 幕 | mù | 5E55 [TGH 1] / “curtain, screen, tent; / office of a commanding / general; act”</x:v>
      </x:c>
      <x:c r="R93" s="20" t="str">
        <x:v>Uploaded: n2924-SecondStageSimplificationStatusv3.pdf</x:v>
      </x:c>
    </x:row>
    <x:row r="94">
      <x:c r="A94" s="20" t="str">
        <x:v>1.1.093</x:v>
      </x:c>
      <x:c r="B94" s="20" t="n">
        <x:v>15</x:v>
      </x:c>
      <x:c r="C94" s="20" t="str">
        <x:v>Part One</x:v>
      </x:c>
      <x:c r="D94" s="20" t="str">
        <x:v>1.1</x:v>
      </x:c>
      <x:c r="E94" s="20" t="str">
        <x:v>Part One — Individual Simplifications</x:v>
      </x:c>
      <x:c r="F94" s="20" t="str">
        <x:v>30F03
(⿰酉上)</x:v>
      </x:c>
      <x:c r="G94" s="20" t="str">
        <x:v>𰼃𰼃</x:v>
      </x:c>
      <x:c r="H94" s="20" t="str">
        <x:v>酿</x:v>
      </x:c>
      <x:c r="I94" s="20" t="str">
        <x:v>niàng</x:v>
      </x:c>
      <x:c r="J94" s="20" t="str">
        <x:v>917F [TGH 1]
“brew, ferment; brew, be in
long, drawn-out
preparation; lead to,
result in; wine”</x:v>
      </x:c>
      <x:c r="K94" s="20" t="str"/>
      <x:c r="L94" s="20" t="str">
        <x:v>U+30F03</x:v>
      </x:c>
      <x:c r="M94" s="20" t="str">
        <x:v>CJK Unified Ideographs Extension G</x:v>
      </x:c>
      <x:c r="N94" s="20" t="str">
        <x:v>Encoded now — Extension G</x:v>
      </x:c>
      <x:c r="O94" s="20" t="str">
        <x:v>Low</x:v>
      </x:c>
      <x:c r="P94" s="20" t="str">
        <x:v>Structured</x:v>
      </x:c>
      <x:c r="Q94" s="20" t="str">
        <x:v>1.1.093 | 30F03 / (⿰酉上) | 𰼃𰼃 | 酿 | niàng | 917F [TGH 1] / “brew, ferment; brew, be in / long, drawn-out / preparation; lead to, / result in; wine”</x:v>
      </x:c>
      <x:c r="R94" s="20" t="str">
        <x:v>Uploaded: n2924-SecondStageSimplificationStatusv3.pdf</x:v>
      </x:c>
    </x:row>
    <x:row r="95">
      <x:c r="A95" s="20" t="str">
        <x:v>1.1.094</x:v>
      </x:c>
      <x:c r="B95" s="20" t="n">
        <x:v>15</x:v>
      </x:c>
      <x:c r="C95" s="20" t="str">
        <x:v>Part One</x:v>
      </x:c>
      <x:c r="D95" s="20" t="str">
        <x:v>1.1</x:v>
      </x:c>
      <x:c r="E95" s="20" t="str">
        <x:v>Part One — Individual Simplifications</x:v>
      </x:c>
      <x:c r="F95" s="20" t="str">
        <x:v>30002
(⿻匚一)</x:v>
      </x:c>
      <x:c r="G95" s="20" t="str">
        <x:v>𰀂𰀂</x:v>
      </x:c>
      <x:c r="H95" s="20" t="str">
        <x:v>虐</x:v>
      </x:c>
      <x:c r="I95" s="20" t="str">
        <x:v>nüè</x:v>
      </x:c>
      <x:c r="J95" s="20" t="str">
        <x:v>8650 [TGH 1]
“cruel, tyrannical”</x:v>
      </x:c>
      <x:c r="K95" s="20" t="str"/>
      <x:c r="L95" s="20" t="str">
        <x:v>U+30002</x:v>
      </x:c>
      <x:c r="M95" s="20" t="str">
        <x:v>CJK Unified Ideographs Extension G</x:v>
      </x:c>
      <x:c r="N95" s="20" t="str">
        <x:v>Encoded now — Extension G</x:v>
      </x:c>
      <x:c r="O95" s="20" t="str">
        <x:v>Low</x:v>
      </x:c>
      <x:c r="P95" s="20" t="str">
        <x:v>Structured</x:v>
      </x:c>
      <x:c r="Q95" s="20" t="str">
        <x:v>1.1.094 | 30002 / (⿻匚一) | 𰀂𰀂 | 虐 | nüè | 8650 [TGH 1] / “cruel, tyrannical”</x:v>
      </x:c>
      <x:c r="R95" s="20" t="str">
        <x:v>Uploaded: n2924-SecondStageSimplificationStatusv3.pdf</x:v>
      </x:c>
    </x:row>
    <x:row r="96">
      <x:c r="A96" s="20" t="str">
        <x:v>1.1.095</x:v>
      </x:c>
      <x:c r="B96" s="20" t="n">
        <x:v>15</x:v>
      </x:c>
      <x:c r="C96" s="20" t="str">
        <x:v>Part One</x:v>
      </x:c>
      <x:c r="D96" s="20" t="str">
        <x:v>1.1</x:v>
      </x:c>
      <x:c r="E96" s="20" t="str">
        <x:v>Part One — Individual Simplifications</x:v>
      </x:c>
      <x:c r="F96" s="20" t="str">
        <x:v>3CBA [UNUSED]</x:v>
      </x:c>
      <x:c r="G96" s="20" t="str">
        <x:v>㲺</x:v>
      </x:c>
      <x:c r="H96" s="20" t="str">
        <x:v>漆</x:v>
      </x:c>
      <x:c r="I96" s="20" t="str">
        <x:v>qī</x:v>
      </x:c>
      <x:c r="J96" s="20" t="str">
        <x:v>6F06 [TGH 1]
“varnish, lacquer, paint;
paint”</x:v>
      </x:c>
      <x:c r="K96" s="20" t="str"/>
      <x:c r="L96" s="20" t="str">
        <x:v>U+3CBA</x:v>
      </x:c>
      <x:c r="M96" s="20" t="str">
        <x:v>CJK Unified Ideographs Extension A</x:v>
      </x:c>
      <x:c r="N96" s="20" t="str">
        <x:v>Unicode code point recorded</x:v>
      </x:c>
      <x:c r="O96" s="20" t="str">
        <x:v>Low</x:v>
      </x:c>
      <x:c r="P96" s="20" t="str">
        <x:v>Structured</x:v>
      </x:c>
      <x:c r="Q96" s="20" t="str">
        <x:v>1.1.095 | 3CBA [UNUSED] | 㲺 | 漆 | qī | 6F06 [TGH 1] / “varnish, lacquer, paint; / paint”</x:v>
      </x:c>
      <x:c r="R96" s="20" t="str">
        <x:v>Uploaded: n2924-SecondStageSimplificationStatusv3.pdf</x:v>
      </x:c>
    </x:row>
    <x:row r="97">
      <x:c r="A97" s="20" t="str">
        <x:v>1.1.096</x:v>
      </x:c>
      <x:c r="B97" s="20" t="n">
        <x:v>15</x:v>
      </x:c>
      <x:c r="C97" s="20" t="str">
        <x:v>Part One</x:v>
      </x:c>
      <x:c r="D97" s="20" t="str">
        <x:v>1.1</x:v>
      </x:c>
      <x:c r="E97" s="20" t="str">
        <x:v>Part One — Individual Simplifications</x:v>
      </x:c>
      <x:c r="F97" s="20" t="str">
        <x:v>5C90 [TGH 2]
“branch;
different,
divergent”</x:v>
      </x:c>
      <x:c r="G97" s="20" t="str">
        <x:v>岐</x:v>
      </x:c>
      <x:c r="H97" s="20" t="str">
        <x:v>歧</x:v>
      </x:c>
      <x:c r="I97" s="20" t="str">
        <x:v>qí</x:v>
      </x:c>
      <x:c r="J97" s="20" t="str">
        <x:v>6B67 [TGH 1]
“branch; different,
divergent”</x:v>
      </x:c>
      <x:c r="K97" s="20" t="str"/>
      <x:c r="L97" s="20" t="str">
        <x:v>U+5C90</x:v>
      </x:c>
      <x:c r="M97" s="20" t="str">
        <x:v>CJK Unified Ideographs</x:v>
      </x:c>
      <x:c r="N97" s="20" t="str">
        <x:v>Unicode code point recorded</x:v>
      </x:c>
      <x:c r="O97" s="20" t="str">
        <x:v>Low</x:v>
      </x:c>
      <x:c r="P97" s="20" t="str">
        <x:v>Structured</x:v>
      </x:c>
      <x:c r="Q97" s="20" t="str">
        <x:v>1.1.096 | 5C90 [TGH 2] / “branch; / different, / divergent” | 岐 | 歧 | qí | 6B67 [TGH 1] / “branch; different, / divergent”</x:v>
      </x:c>
      <x:c r="R97" s="20" t="str">
        <x:v>Uploaded: n2924-SecondStageSimplificationStatusv3.pdf</x:v>
      </x:c>
    </x:row>
    <x:row r="98">
      <x:c r="A98" s="20" t="str">
        <x:v>1.1.097</x:v>
      </x:c>
      <x:c r="B98" s="20" t="n">
        <x:v>15</x:v>
      </x:c>
      <x:c r="C98" s="20" t="str">
        <x:v>Part One</x:v>
      </x:c>
      <x:c r="D98" s="20" t="str">
        <x:v>1.1</x:v>
      </x:c>
      <x:c r="E98" s="20" t="str">
        <x:v>Part One — Individual Simplifications</x:v>
      </x:c>
      <x:c r="F98" s="20" t="str">
        <x:v>2BA4F
[UNUSED]</x:v>
      </x:c>
      <x:c r="G98" s="20" t="str">
        <x:v>𫩏𫩏</x:v>
      </x:c>
      <x:c r="H98" s="20" t="str">
        <x:v>器</x:v>
      </x:c>
      <x:c r="I98" s="20" t="str">
        <x:v>qì</x:v>
      </x:c>
      <x:c r="J98" s="20" t="str">
        <x:v>5668 [TGH 1]
“vessel, utensil, ware;
instrument; organ (of the
body); talent, aptitude”</x:v>
      </x:c>
      <x:c r="K98" s="20" t="str"/>
      <x:c r="L98" s="20" t="str">
        <x:v>U+2BA4F</x:v>
      </x:c>
      <x:c r="M98" s="20" t="str">
        <x:v>CJK Unified Ideographs Extension E</x:v>
      </x:c>
      <x:c r="N98" s="20" t="str">
        <x:v>Unicode code point recorded</x:v>
      </x:c>
      <x:c r="O98" s="20" t="str">
        <x:v>Low</x:v>
      </x:c>
      <x:c r="P98" s="20" t="str">
        <x:v>Structured</x:v>
      </x:c>
      <x:c r="Q98" s="20" t="str">
        <x:v>1.1.097 | 2BA4F / [UNUSED] | 𫩏𫩏 | 器 | qì | 5668 [TGH 1] / “vessel, utensil, ware; / instrument; organ (of the / body); talent, aptitude”</x:v>
      </x:c>
      <x:c r="R98" s="20" t="str">
        <x:v>Uploaded: n2924-SecondStageSimplificationStatusv3.pdf</x:v>
      </x:c>
    </x:row>
    <x:row r="99">
      <x:c r="A99" s="20" t="str">
        <x:v>1.1.098</x:v>
      </x:c>
      <x:c r="B99" s="20" t="n">
        <x:v>15</x:v>
      </x:c>
      <x:c r="C99" s="20" t="str">
        <x:v>Part One</x:v>
      </x:c>
      <x:c r="D99" s="20" t="str">
        <x:v>1.1</x:v>
      </x:c>
      <x:c r="E99" s="20" t="str">
        <x:v>Part One — Individual Simplifications</x:v>
      </x:c>
      <x:c r="F99" s="20" t="str">
        <x:v>30D4B
(⿰讠千)</x:v>
      </x:c>
      <x:c r="G99" s="20" t="str">
        <x:v>𰵋𰵋</x:v>
      </x:c>
      <x:c r="H99" s="20" t="str">
        <x:v>谦</x:v>
      </x:c>
      <x:c r="I99" s="20" t="str">
        <x:v>qiān</x:v>
      </x:c>
      <x:c r="J99" s="20" t="str">
        <x:v>8C26 [TGH 1]
“modest”</x:v>
      </x:c>
      <x:c r="K99" s="20" t="str"/>
      <x:c r="L99" s="20" t="str">
        <x:v>U+30D4B</x:v>
      </x:c>
      <x:c r="M99" s="20" t="str">
        <x:v>CJK Unified Ideographs Extension G</x:v>
      </x:c>
      <x:c r="N99" s="20" t="str">
        <x:v>Encoded now — Extension G</x:v>
      </x:c>
      <x:c r="O99" s="20" t="str">
        <x:v>Low</x:v>
      </x:c>
      <x:c r="P99" s="20" t="str">
        <x:v>Structured</x:v>
      </x:c>
      <x:c r="Q99" s="20" t="str">
        <x:v>1.1.098 | 30D4B / (⿰讠千) | 𰵋𰵋 | 谦 | qiān | 8C26 [TGH 1] / “modest”</x:v>
      </x:c>
      <x:c r="R99" s="20" t="str">
        <x:v>Uploaded: n2924-SecondStageSimplificationStatusv3.pdf</x:v>
      </x:c>
    </x:row>
    <x:row r="100">
      <x:c r="A100" s="20" t="str">
        <x:v>1.1.099</x:v>
      </x:c>
      <x:c r="B100" s="20" t="n">
        <x:v>15</x:v>
      </x:c>
      <x:c r="C100" s="20" t="str">
        <x:v>Part One</x:v>
      </x:c>
      <x:c r="D100" s="20" t="str">
        <x:v>1.1</x:v>
      </x:c>
      <x:c r="E100" s="20" t="str">
        <x:v>Part One — Individual Simplifications</x:v>
      </x:c>
      <x:c r="F100" s="20" t="str">
        <x:v>6C58 [UNUSED
H]</x:v>
      </x:c>
      <x:c r="G100" s="20" t="str">
        <x:v>汘</x:v>
      </x:c>
      <x:c r="H100" s="20" t="str">
        <x:v>潜</x:v>
      </x:c>
      <x:c r="I100" s="20" t="str">
        <x:v>qián</x:v>
      </x:c>
      <x:c r="J100" s="20" t="str">
        <x:v>6F5C [TGH 1]
“dive, submerge; hidden; in
secret, stealthily; latent”</x:v>
      </x:c>
      <x:c r="K100" s="20" t="str"/>
      <x:c r="L100" s="20" t="str">
        <x:v>U+6C58</x:v>
      </x:c>
      <x:c r="M100" s="20" t="str">
        <x:v>CJK Unified Ideographs</x:v>
      </x:c>
      <x:c r="N100" s="20" t="str">
        <x:v>Unicode code point recorded</x:v>
      </x:c>
      <x:c r="O100" s="20" t="str">
        <x:v>Low</x:v>
      </x:c>
      <x:c r="P100" s="20" t="str">
        <x:v>Structured</x:v>
      </x:c>
      <x:c r="Q100" s="20" t="str">
        <x:v>1.1.099 | 6C58 [UNUSED / H] | 汘 | 潜 | qián | 6F5C [TGH 1] / “dive, submerge; hidden; in / secret, stealthily; latent”</x:v>
      </x:c>
      <x:c r="R100" s="20" t="str">
        <x:v>Uploaded: n2924-SecondStageSimplificationStatusv3.pdf</x:v>
      </x:c>
    </x:row>
    <x:row r="101">
      <x:c r="A101" s="20" t="str">
        <x:v>1.1.100</x:v>
      </x:c>
      <x:c r="B101" s="20" t="n">
        <x:v>15</x:v>
      </x:c>
      <x:c r="C101" s="20" t="str">
        <x:v>Part One</x:v>
      </x:c>
      <x:c r="D101" s="20" t="str">
        <x:v>1.1</x:v>
      </x:c>
      <x:c r="E101" s="20" t="str">
        <x:v>Part One — Individual Simplifications</x:v>
      </x:c>
      <x:c r="F101" s="20" t="str">
        <x:v>5029 [TGH 2]
“beautiful,
handsome; ask sb.
to do sth.”</x:v>
      </x:c>
      <x:c r="G101" s="20" t="str">
        <x:v>倩</x:v>
      </x:c>
      <x:c r="H101" s="20" t="str">
        <x:v>歉</x:v>
      </x:c>
      <x:c r="I101" s="20" t="str">
        <x:v>qiàn</x:v>
      </x:c>
      <x:c r="J101" s="20" t="str">
        <x:v>6B49 [TGH 1]
“apology”</x:v>
      </x:c>
      <x:c r="K101" s="20" t="str"/>
      <x:c r="L101" s="20" t="str">
        <x:v>U+5029</x:v>
      </x:c>
      <x:c r="M101" s="20" t="str">
        <x:v>CJK Unified Ideographs</x:v>
      </x:c>
      <x:c r="N101" s="20" t="str">
        <x:v>Unicode code point recorded</x:v>
      </x:c>
      <x:c r="O101" s="20" t="str">
        <x:v>Low</x:v>
      </x:c>
      <x:c r="P101" s="20" t="str">
        <x:v>Structured</x:v>
      </x:c>
      <x:c r="Q101" s="20" t="str">
        <x:v>1.1.100 | 5029 [TGH 2] / “beautiful, / handsome; ask sb. / to do sth.” | 倩 | 歉 | qiàn | 6B49 [TGH 1] / “apology”</x:v>
      </x:c>
      <x:c r="R101" s="20" t="str">
        <x:v>Uploaded: n2924-SecondStageSimplificationStatusv3.pdf</x:v>
      </x:c>
    </x:row>
    <x:row r="102">
      <x:c r="A102" s="20" t="str">
        <x:v>1.1.101</x:v>
      </x:c>
      <x:c r="B102" s="20" t="n">
        <x:v>15</x:v>
      </x:c>
      <x:c r="C102" s="20" t="str">
        <x:v>Part One</x:v>
      </x:c>
      <x:c r="D102" s="20" t="str">
        <x:v>1.1</x:v>
      </x:c>
      <x:c r="E102" s="20" t="str">
        <x:v>Part One — Individual Simplifications</x:v>
      </x:c>
      <x:c r="F102" s="20" t="str">
        <x:v>579F [TGH 3]
yáng
“field”; used in
place names</x:v>
      </x:c>
      <x:c r="G102" s="20" t="str">
        <x:v>垟</x:v>
      </x:c>
      <x:c r="H102" s="20" t="str">
        <x:v>墙</x:v>
      </x:c>
      <x:c r="I102" s="20" t="str">
        <x:v>qiáng</x:v>
      </x:c>
      <x:c r="J102" s="20" t="str">
        <x:v>5899 [TGH 1]
“wall”</x:v>
      </x:c>
      <x:c r="K102" s="20" t="str"/>
      <x:c r="L102" s="20" t="str">
        <x:v>U+579F</x:v>
      </x:c>
      <x:c r="M102" s="20" t="str">
        <x:v>CJK Unified Ideographs</x:v>
      </x:c>
      <x:c r="N102" s="20" t="str">
        <x:v>Unicode code point recorded</x:v>
      </x:c>
      <x:c r="O102" s="20" t="str">
        <x:v>Low</x:v>
      </x:c>
      <x:c r="P102" s="20" t="str">
        <x:v>Structured</x:v>
      </x:c>
      <x:c r="Q102" s="20" t="str">
        <x:v>1.1.101 | 579F [TGH 3] / yáng / “field”; used in / place names | 垟 | 墙 | qiáng | 5899 [TGH 1] / “wall”</x:v>
      </x:c>
      <x:c r="R102" s="20" t="str">
        <x:v>Uploaded: n2924-SecondStageSimplificationStatusv3.pdf</x:v>
      </x:c>
    </x:row>
    <x:row r="103">
      <x:c r="A103" s="20" t="str">
        <x:v>1.1.102</x:v>
      </x:c>
      <x:c r="B103" s="20" t="n">
        <x:v>15</x:v>
      </x:c>
      <x:c r="C103" s="20" t="str">
        <x:v>Part One</x:v>
      </x:c>
      <x:c r="D103" s="20" t="str">
        <x:v>1.1</x:v>
      </x:c>
      <x:c r="E103" s="20" t="str">
        <x:v>Part One — Individual Simplifications</x:v>
      </x:c>
      <x:c r="F103" s="20" t="str">
        <x:v>30149
(⿰井力)</x:v>
      </x:c>
      <x:c r="G103" s="20" t="str">
        <x:v>𰅉𰅉</x:v>
      </x:c>
      <x:c r="H103" s="20" t="str">
        <x:v>勤</x:v>
      </x:c>
      <x:c r="I103" s="20" t="str">
        <x:v>qín</x:v>
      </x:c>
      <x:c r="J103" s="20" t="str">
        <x:v>52E4 [TGH 1]
“diligent, hardworking;
solicitous; frequent,
regular, constant; service,
attendance”</x:v>
      </x:c>
      <x:c r="K103" s="20" t="str"/>
      <x:c r="L103" s="20" t="str">
        <x:v>U+30149</x:v>
      </x:c>
      <x:c r="M103" s="20" t="str">
        <x:v>CJK Unified Ideographs Extension G</x:v>
      </x:c>
      <x:c r="N103" s="20" t="str">
        <x:v>Encoded now — Extension G</x:v>
      </x:c>
      <x:c r="O103" s="20" t="str">
        <x:v>Low</x:v>
      </x:c>
      <x:c r="P103" s="20" t="str">
        <x:v>Structured</x:v>
      </x:c>
      <x:c r="Q103" s="20" t="str">
        <x:v>1.1.102 | 30149 / (⿰井力) | 𰅉𰅉 | 勤 | qín | 52E4 [TGH 1] / “diligent, hardworking; / solicitous; frequent, / regular, constant; service, / attendance”</x:v>
      </x:c>
      <x:c r="R103" s="20" t="str">
        <x:v>Uploaded: n2924-SecondStageSimplificationStatusv3.pdf</x:v>
      </x:c>
    </x:row>
    <x:row r="104">
      <x:c r="A104" s="20" t="str">
        <x:v>1.1.103</x:v>
      </x:c>
      <x:c r="B104" s="20" t="n">
        <x:v>15</x:v>
      </x:c>
      <x:c r="C104" s="20" t="str">
        <x:v>Part One</x:v>
      </x:c>
      <x:c r="D104" s="20" t="str">
        <x:v>1.1</x:v>
      </x:c>
      <x:c r="E104" s="20" t="str">
        <x:v>Part One — Individual Simplifications</x:v>
      </x:c>
      <x:c r="F104" s="20" t="str">
        <x:v>6D30 [UNUSED
HMT]</x:v>
      </x:c>
      <x:c r="G104" s="20" t="str">
        <x:v>洰</x:v>
      </x:c>
      <x:c r="H104" s="20" t="str">
        <x:v>渠</x:v>
      </x:c>
      <x:c r="I104" s="20" t="str">
        <x:v>qú</x:v>
      </x:c>
      <x:c r="J104" s="20" t="str">
        <x:v>6E20 [TGH 1]
“canal, ditch, channel;
〈wr./topo.〉 he, she;
〈topo.〉 big; chief”</x:v>
      </x:c>
      <x:c r="K104" s="20" t="str"/>
      <x:c r="L104" s="20" t="str">
        <x:v>U+6D30</x:v>
      </x:c>
      <x:c r="M104" s="20" t="str">
        <x:v>CJK Unified Ideographs</x:v>
      </x:c>
      <x:c r="N104" s="20" t="str">
        <x:v>Unicode code point recorded</x:v>
      </x:c>
      <x:c r="O104" s="20" t="str">
        <x:v>Low</x:v>
      </x:c>
      <x:c r="P104" s="20" t="str">
        <x:v>Structured</x:v>
      </x:c>
      <x:c r="Q104" s="20" t="str">
        <x:v>1.1.103 | 6D30 [UNUSED / HMT] | 洰 | 渠 | qú | 6E20 [TGH 1] / “canal, ditch, channel; / 〈wr./topo.〉 he, she; / 〈topo.〉 big; chief”</x:v>
      </x:c>
      <x:c r="R104" s="20" t="str">
        <x:v>Uploaded: n2924-SecondStageSimplificationStatusv3.pdf</x:v>
      </x:c>
    </x:row>
    <x:row r="105">
      <x:c r="A105" s="20" t="str">
        <x:v>1.1.104</x:v>
      </x:c>
      <x:c r="B105" s="20" t="n">
        <x:v>15</x:v>
      </x:c>
      <x:c r="C105" s="20" t="str">
        <x:v>Part One</x:v>
      </x:c>
      <x:c r="D105" s="20" t="str">
        <x:v>1.1</x:v>
      </x:c>
      <x:c r="E105" s="20" t="str">
        <x:v>Part One — Individual Simplifications</x:v>
      </x:c>
      <x:c r="F105" s="20" t="str">
        <x:v>20BB5
[UNUSED]</x:v>
      </x:c>
      <x:c r="G105" s="20" t="str">
        <x:v>𠮵𠮵</x:v>
      </x:c>
      <x:c r="H105" s="20" t="str">
        <x:v>嚷</x:v>
      </x:c>
      <x:c r="I105" s="20" t="str">
        <x:v>rāng,
rǎng</x:v>
      </x:c>
      <x:c r="J105" s="20" t="str">
        <x:v>56B7 [TGH 1]
rāng
【嚷嚷】rāngrang “〈coll.〉
argue noisily; holler;,</x:v>
      </x:c>
      <x:c r="K105" s="20" t="str"/>
      <x:c r="L105" s="20" t="str">
        <x:v>U+20BB5</x:v>
      </x:c>
      <x:c r="M105" s="20" t="str">
        <x:v>CJK Unified Ideographs Extension B</x:v>
      </x:c>
      <x:c r="N105" s="20" t="str">
        <x:v>Unicode code point recorded</x:v>
      </x:c>
      <x:c r="O105" s="20" t="str">
        <x:v>Low</x:v>
      </x:c>
      <x:c r="P105" s="20" t="str">
        <x:v>Structured</x:v>
      </x:c>
      <x:c r="Q105" s="20" t="str">
        <x:v>1.1.104 | 20BB5 / [UNUSED] | 𠮵𠮵 | 嚷 | rāng, / rǎng | 56B7 [TGH 1] / rāng / 【嚷嚷】rāngrang “〈coll.〉 / argue noisily; holler;,</x:v>
      </x:c>
      <x:c r="R105" s="20" t="str">
        <x:v>Uploaded: n2924-SecondStageSimplificationStatusv3.pdf</x:v>
      </x:c>
    </x:row>
    <x:row r="106">
      <x:c r="A106" s="20" t="str">
        <x:v>1.1.105</x:v>
      </x:c>
      <x:c r="B106" s="20" t="n">
        <x:v>16</x:v>
      </x:c>
      <x:c r="C106" s="20" t="str">
        <x:v>Part One</x:v>
      </x:c>
      <x:c r="D106" s="20" t="str">
        <x:v>1.1</x:v>
      </x:c>
      <x:c r="E106" s="20" t="str">
        <x:v>Part One — Individual Simplifications</x:v>
      </x:c>
      <x:c r="F106" s="20" t="str">
        <x:v>5735 [UNUSED]</x:v>
      </x:c>
      <x:c r="G106" s="20" t="str">
        <x:v>圵</x:v>
      </x:c>
      <x:c r="H106" s="20" t="str">
        <x:v>壤</x:v>
      </x:c>
      <x:c r="I106" s="20" t="str">
        <x:v>rǎng</x:v>
      </x:c>
      <x:c r="J106" s="20" t="str">
        <x:v>58E4 [TGH 1]
“soil”</x:v>
      </x:c>
      <x:c r="K106" s="20" t="str"/>
      <x:c r="L106" s="20" t="str">
        <x:v>U+5735</x:v>
      </x:c>
      <x:c r="M106" s="20" t="str">
        <x:v>CJK Unified Ideographs</x:v>
      </x:c>
      <x:c r="N106" s="20" t="str">
        <x:v>Unicode code point recorded</x:v>
      </x:c>
      <x:c r="O106" s="20" t="str">
        <x:v>Low</x:v>
      </x:c>
      <x:c r="P106" s="20" t="str">
        <x:v>Structured</x:v>
      </x:c>
      <x:c r="Q106" s="20" t="str">
        <x:v>1.1.105 | 5735 [UNUSED] | 圵 | 壤 | rǎng | 58E4 [TGH 1] / “soil”</x:v>
      </x:c>
      <x:c r="R106" s="20" t="str">
        <x:v>Uploaded: n2924-SecondStageSimplificationStatusv3.pdf</x:v>
      </x:c>
    </x:row>
    <x:row r="107">
      <x:c r="A107" s="20" t="str">
        <x:v>1.1.106</x:v>
      </x:c>
      <x:c r="B107" s="20" t="n">
        <x:v>16</x:v>
      </x:c>
      <x:c r="C107" s="20" t="str">
        <x:v>Part One</x:v>
      </x:c>
      <x:c r="D107" s="20" t="str">
        <x:v>1.1</x:v>
      </x:c>
      <x:c r="E107" s="20" t="str">
        <x:v>Part One — Individual Simplifications</x:v>
      </x:c>
      <x:c r="F107" s="20" t="str">
        <x:v>30061
(⿰亻入)</x:v>
      </x:c>
      <x:c r="G107" s="20" t="str">
        <x:v>𰁡𰁡</x:v>
      </x:c>
      <x:c r="H107" s="20" t="str">
        <x:v>儒</x:v>
      </x:c>
      <x:c r="I107" s="20" t="str">
        <x:v>rú</x:v>
      </x:c>
      <x:c r="J107" s="20" t="str">
        <x:v>5112 [TGH 1]
“〈wr.〉 learned, scholarly;
Confucian”</x:v>
      </x:c>
      <x:c r="K107" s="20" t="str"/>
      <x:c r="L107" s="20" t="str">
        <x:v>U+30061</x:v>
      </x:c>
      <x:c r="M107" s="20" t="str">
        <x:v>CJK Unified Ideographs Extension G</x:v>
      </x:c>
      <x:c r="N107" s="20" t="str">
        <x:v>Encoded now — Extension G</x:v>
      </x:c>
      <x:c r="O107" s="20" t="str">
        <x:v>Low</x:v>
      </x:c>
      <x:c r="P107" s="20" t="str">
        <x:v>Structured</x:v>
      </x:c>
      <x:c r="Q107" s="20" t="str">
        <x:v>1.1.106 | 30061 / (⿰亻入) | 𰁡𰁡 | 儒 | rú | 5112 [TGH 1] / “〈wr.〉 learned, scholarly; / Confucian”</x:v>
      </x:c>
      <x:c r="R107" s="20" t="str">
        <x:v>Uploaded: n2924-SecondStageSimplificationStatusv3.pdf</x:v>
      </x:c>
    </x:row>
    <x:row r="108">
      <x:c r="A108" s="20" t="str">
        <x:v>1.1.107</x:v>
      </x:c>
      <x:c r="B108" s="20" t="n">
        <x:v>16</x:v>
      </x:c>
      <x:c r="C108" s="20" t="str">
        <x:v>Part One</x:v>
      </x:c>
      <x:c r="D108" s="20" t="str">
        <x:v>1.1</x:v>
      </x:c>
      <x:c r="E108" s="20" t="str">
        <x:v>Part One — Individual Simplifications</x:v>
      </x:c>
      <x:c r="F108" s="20" t="str">
        <x:v>⿱宀覀 8</x:v>
      </x:c>
      <x:c r="G108" s="20" t="str">
        <x:v>赛</x:v>
      </x:c>
      <x:c r="H108" s="20" t="str">
        <x:v>赛</x:v>
      </x:c>
      <x:c r="I108" s="20" t="str">
        <x:v>sài</x:v>
      </x:c>
      <x:c r="J108" s="20" t="str">
        <x:v>8D5B [TGH 1]
“compete; exceed, surpass;
game, competition, contest”</x:v>
      </x:c>
      <x:c r="K108" s="20" t="str"/>
      <x:c r="L108" s="20" t="str"/>
      <x:c r="M108" s="20" t="str"/>
      <x:c r="N108" s="20" t="str">
        <x:v>IDS / unencoded in 2022 source — review against Unicode 17 / GEJ</x:v>
      </x:c>
      <x:c r="O108" s="20" t="str">
        <x:v>High</x:v>
      </x:c>
      <x:c r="P108" s="20" t="str">
        <x:v>Structured</x:v>
      </x:c>
      <x:c r="Q108" s="20" t="str">
        <x:v>1.1.107 | ⿱宀覀 8 | 赛 | 赛 | sài | 8D5B [TGH 1] / “compete; exceed, surpass; / game, competition, contest”</x:v>
      </x:c>
      <x:c r="R108" s="20" t="str">
        <x:v>Uploaded: n2924-SecondStageSimplificationStatusv3.pdf</x:v>
      </x:c>
    </x:row>
    <x:row r="109">
      <x:c r="A109" s="20" t="str">
        <x:v>1.1.108</x:v>
      </x:c>
      <x:c r="B109" s="20" t="n">
        <x:v>16</x:v>
      </x:c>
      <x:c r="C109" s="20" t="str">
        <x:v>Part One</x:v>
      </x:c>
      <x:c r="D109" s="20" t="str">
        <x:v>1.1</x:v>
      </x:c>
      <x:c r="E109" s="20" t="str">
        <x:v>Part One — Individual Simplifications</x:v>
      </x:c>
      <x:c r="F109" s="20" t="str">
        <x:v>6247 [TGH 1]
shān
“fan; slap; flap,
flutter (of
birds); incite,
instigate, stir
up”
shàn
“fan; leaf;
counter (for
doors/etc.)”</x:v>
      </x:c>
      <x:c r="G109" s="20" t="str">
        <x:v>扇</x:v>
      </x:c>
      <x:c r="H109" s="20" t="str">
        <x:v>煽搧</x:v>
      </x:c>
      <x:c r="I109" s="20" t="str">
        <x:v>shān</x:v>
      </x:c>
      <x:c r="J109" s="20" t="str">
        <x:v>717D [TGH 1]
“fan a fire; 〈slang〉 shoot
the breeze, jabber;
instigate”
6427 [UNUSED HMT]9</x:v>
      </x:c>
      <x:c r="K109" s="20" t="str"/>
      <x:c r="L109" s="20" t="str">
        <x:v>U+6247</x:v>
      </x:c>
      <x:c r="M109" s="20" t="str">
        <x:v>CJK Unified Ideographs</x:v>
      </x:c>
      <x:c r="N109" s="20" t="str">
        <x:v>Unicode code point recorded</x:v>
      </x:c>
      <x:c r="O109" s="20" t="str">
        <x:v>Low</x:v>
      </x:c>
      <x:c r="P109" s="20" t="str">
        <x:v>Structured</x:v>
      </x:c>
      <x:c r="Q109" s="20" t="str">
        <x:v>1.1.108 | 6247 [TGH 1] / shān / “fan; slap; flap, / flutter (of / birds); incite, / instigate, stir / up” / shàn / “fan; leaf; / counter (for / doors/etc.)” | 扇 | 煽搧 | shān | 717D [TGH 1] / “fan a fire; 〈slang〉 shoot / the breeze, jabber; / instigate” / 6427 [UNUSED HMT]9</x:v>
      </x:c>
      <x:c r="R109" s="20" t="str">
        <x:v>Uploaded: n2924-SecondStageSimplificationStatusv3.pdf</x:v>
      </x:c>
    </x:row>
    <x:row r="110">
      <x:c r="A110" s="20" t="str">
        <x:v>1.1.109</x:v>
      </x:c>
      <x:c r="B110" s="20" t="n">
        <x:v>16</x:v>
      </x:c>
      <x:c r="C110" s="20" t="str">
        <x:v>Part One</x:v>
      </x:c>
      <x:c r="D110" s="20" t="str">
        <x:v>1.1</x:v>
      </x:c>
      <x:c r="E110" s="20" t="str">
        <x:v>Part One — Individual Simplifications</x:v>
      </x:c>
      <x:c r="F110" s="20" t="str">
        <x:v>4E0A [TGH 1]
shǎng
“rising tone in
trad. Ch.
Phonology;
Mandarin 3rd
tone”
shàng
“upper, upward;
higher, superior,
better; etc.”</x:v>
      </x:c>
      <x:c r="G110" s="20" t="str">
        <x:v>上</x:v>
      </x:c>
      <x:c r="H110" s="20" t="str">
        <x:v>绱鞝</x:v>
      </x:c>
      <x:c r="I110" s="20" t="str">
        <x:v>shàng</x:v>
      </x:c>
      <x:c r="J110" s="20" t="str">
        <x:v>7EF1 [TGH 2]
【 】shàngxié “sole a
绱鞋
shoe, stitch the sole to
the upper”
979D [UNUSED HMT]10</x:v>
      </x:c>
      <x:c r="K110" s="20" t="str"/>
      <x:c r="L110" s="20" t="str">
        <x:v>U+4E0A</x:v>
      </x:c>
      <x:c r="M110" s="20" t="str">
        <x:v>CJK Unified Ideographs</x:v>
      </x:c>
      <x:c r="N110" s="20" t="str">
        <x:v>Unicode code point recorded</x:v>
      </x:c>
      <x:c r="O110" s="20" t="str">
        <x:v>Low</x:v>
      </x:c>
      <x:c r="P110" s="20" t="str">
        <x:v>Structured</x:v>
      </x:c>
      <x:c r="Q110" s="20" t="str">
        <x:v>1.1.109 | 4E0A [TGH 1] / shǎng / “rising tone in / trad. Ch. / Phonology; / Mandarin 3rd / tone” / shàng / “upper, upward; / higher, superior, / better; etc.” | 上 | 绱鞝 | shàng | 7EF1 [TGH 2] / 【 】shàngxié “sole a / 绱鞋 / shoe, stitch the sole to / the upper” / 979D [UNUSED HMT]10</x:v>
      </x:c>
      <x:c r="R110" s="20" t="str">
        <x:v>Uploaded: n2924-SecondStageSimplificationStatusv3.pdf</x:v>
      </x:c>
    </x:row>
    <x:row r="111">
      <x:c r="A111" s="20" t="str">
        <x:v>1.1.110</x:v>
      </x:c>
      <x:c r="B111" s="20" t="n">
        <x:v>17</x:v>
      </x:c>
      <x:c r="C111" s="20" t="str">
        <x:v>Part One</x:v>
      </x:c>
      <x:c r="D111" s="20" t="str">
        <x:v>1.1</x:v>
      </x:c>
      <x:c r="E111" s="20" t="str">
        <x:v>Part One — Individual Simplifications</x:v>
      </x:c>
      <x:c r="F111" s="20" t="str">
        <x:v>52FA [TGH 1]
sháo
“spoon, ladle,
dipper; 〈hist.〉
(of capacity
equal to one
centiliter)”</x:v>
      </x:c>
      <x:c r="G111" s="20" t="str">
        <x:v>勺</x:v>
      </x:c>
      <x:c r="H111" s="20" t="str">
        <x:v>杓</x:v>
      </x:c>
      <x:c r="I111" s="20" t="str">
        <x:v>biāo
[sic!]</x:v>
      </x:c>
      <x:c r="J111" s="20" t="str">
        <x:v>6753 [TGH 2]11
“〈trad.〉 the three stars
at the end of the handle of
the Big Dipper”</x:v>
      </x:c>
      <x:c r="K111" s="20" t="str"/>
      <x:c r="L111" s="20" t="str">
        <x:v>U+52FA</x:v>
      </x:c>
      <x:c r="M111" s="20" t="str">
        <x:v>CJK Unified Ideographs</x:v>
      </x:c>
      <x:c r="N111" s="20" t="str">
        <x:v>Unicode code point recorded</x:v>
      </x:c>
      <x:c r="O111" s="20" t="str">
        <x:v>Low</x:v>
      </x:c>
      <x:c r="P111" s="20" t="str">
        <x:v>Structured</x:v>
      </x:c>
      <x:c r="Q111" s="20" t="str">
        <x:v>1.1.110 | 52FA [TGH 1] / sháo / “spoon, ladle, / dipper; 〈hist.〉 / (of capacity / equal to one / centiliter)” | 勺 | 杓 | biāo / [sic!] | 6753 [TGH 2]11 / “〈trad.〉 the three stars / at the end of the handle of / the Big Dipper”</x:v>
      </x:c>
      <x:c r="R111" s="20" t="str">
        <x:v>Uploaded: n2924-SecondStageSimplificationStatusv3.pdf</x:v>
      </x:c>
    </x:row>
    <x:row r="112">
      <x:c r="A112" s="20" t="str">
        <x:v>1.1.111</x:v>
      </x:c>
      <x:c r="B112" s="20" t="n">
        <x:v>17</x:v>
      </x:c>
      <x:c r="C112" s="20" t="str">
        <x:v>Part One</x:v>
      </x:c>
      <x:c r="D112" s="20" t="str">
        <x:v>1.1</x:v>
      </x:c>
      <x:c r="E112" s="20" t="str">
        <x:v>Part One — Individual Simplifications</x:v>
      </x:c>
      <x:c r="F112" s="20" t="str">
        <x:v>30E70
(⿰车入)</x:v>
      </x:c>
      <x:c r="G112" s="20" t="str">
        <x:v>𰹰𰹰</x:v>
      </x:c>
      <x:c r="H112" s="20" t="str">
        <x:v>输</x:v>
      </x:c>
      <x:c r="I112" s="20" t="str">
        <x:v>shū</x:v>
      </x:c>
      <x:c r="J112" s="20" t="str">
        <x:v>8F93 [TGH 1]
“transport, convey;
contribute, donate; lose,
be defeated”</x:v>
      </x:c>
      <x:c r="K112" s="20" t="str"/>
      <x:c r="L112" s="20" t="str">
        <x:v>U+30E70</x:v>
      </x:c>
      <x:c r="M112" s="20" t="str">
        <x:v>CJK Unified Ideographs Extension G</x:v>
      </x:c>
      <x:c r="N112" s="20" t="str">
        <x:v>Encoded now — Extension G</x:v>
      </x:c>
      <x:c r="O112" s="20" t="str">
        <x:v>Low</x:v>
      </x:c>
      <x:c r="P112" s="20" t="str">
        <x:v>Structured</x:v>
      </x:c>
      <x:c r="Q112" s="20" t="str">
        <x:v>1.1.111 | 30E70 / (⿰车入) | 𰹰𰹰 | 输 | shū | 8F93 [TGH 1] / “transport, convey; / contribute, donate; lose, / be defeated”</x:v>
      </x:c>
      <x:c r="R112" s="20" t="str">
        <x:v>Uploaded: n2924-SecondStageSimplificationStatusv3.pdf</x:v>
      </x:c>
    </x:row>
    <x:row r="113">
      <x:c r="A113" s="20" t="str">
        <x:v>1.1.112</x:v>
      </x:c>
      <x:c r="B113" s="20" t="n">
        <x:v>17</x:v>
      </x:c>
      <x:c r="C113" s="20" t="str">
        <x:v>Part One</x:v>
      </x:c>
      <x:c r="D113" s="20" t="str">
        <x:v>1.1</x:v>
      </x:c>
      <x:c r="E113" s="20" t="str">
        <x:v>Part One — Individual Simplifications</x:v>
      </x:c>
      <x:c r="F113" s="20" t="str">
        <x:v>302DC
(⿻大⿰㐅㐅)</x:v>
      </x:c>
      <x:c r="G113" s="20" t="str">
        <x:v>𰋜𰋜</x:v>
      </x:c>
      <x:c r="H113" s="20" t="str">
        <x:v>爽</x:v>
      </x:c>
      <x:c r="I113" s="20" t="str">
        <x:v>shuǎng</x:v>
      </x:c>
      <x:c r="J113" s="20" t="str">
        <x:v>723D [TGH 1]
“bright, clear, crisp;
straightforward”</x:v>
      </x:c>
      <x:c r="K113" s="20" t="str"/>
      <x:c r="L113" s="20" t="str">
        <x:v>U+302DC</x:v>
      </x:c>
      <x:c r="M113" s="20" t="str">
        <x:v>CJK Unified Ideographs Extension G</x:v>
      </x:c>
      <x:c r="N113" s="20" t="str">
        <x:v>Encoded now — Extension G</x:v>
      </x:c>
      <x:c r="O113" s="20" t="str">
        <x:v>Low</x:v>
      </x:c>
      <x:c r="P113" s="20" t="str">
        <x:v>Structured</x:v>
      </x:c>
      <x:c r="Q113" s="20" t="str">
        <x:v>1.1.112 | 302DC / (⿻大⿰㐅㐅) | 𰋜𰋜 | 爽 | shuǎng | 723D [TGH 1] / “bright, clear, crisp; / straightforward”</x:v>
      </x:c>
      <x:c r="R113" s="20" t="str">
        <x:v>Uploaded: n2924-SecondStageSimplificationStatusv3.pdf</x:v>
      </x:c>
    </x:row>
    <x:row r="114">
      <x:c r="A114" s="20" t="str">
        <x:v>1.1.113</x:v>
      </x:c>
      <x:c r="B114" s="20" t="n">
        <x:v>17</x:v>
      </x:c>
      <x:c r="C114" s="20" t="str">
        <x:v>Part One</x:v>
      </x:c>
      <x:c r="D114" s="20" t="str">
        <x:v>1.1</x:v>
      </x:c>
      <x:c r="E114" s="20" t="str">
        <x:v>Part One — Individual Simplifications</x:v>
      </x:c>
      <x:c r="F114" s="20" t="str">
        <x:v>53B6 [GB2312]</x:v>
      </x:c>
      <x:c r="G114" s="20" t="str">
        <x:v>厶</x:v>
      </x:c>
      <x:c r="H114" s="20" t="str">
        <x:v>私</x:v>
      </x:c>
      <x:c r="I114" s="20" t="str">
        <x:v>sī</x:v>
      </x:c>
      <x:c r="J114" s="20" t="str">
        <x:v>79C1 [TGH 1]
“personal, private;
illegal; selfish”</x:v>
      </x:c>
      <x:c r="K114" s="20" t="str"/>
      <x:c r="L114" s="20" t="str">
        <x:v>U+53B6</x:v>
      </x:c>
      <x:c r="M114" s="20" t="str">
        <x:v>CJK Unified Ideographs</x:v>
      </x:c>
      <x:c r="N114" s="20" t="str">
        <x:v>Unicode code point recorded</x:v>
      </x:c>
      <x:c r="O114" s="20" t="str">
        <x:v>Low</x:v>
      </x:c>
      <x:c r="P114" s="20" t="str">
        <x:v>Structured</x:v>
      </x:c>
      <x:c r="Q114" s="20" t="str">
        <x:v>1.1.113 | 53B6 [GB2312] | 厶 | 私 | sī | 79C1 [TGH 1] / “personal, private; / illegal; selfish”</x:v>
      </x:c>
      <x:c r="R114" s="20" t="str">
        <x:v>Uploaded: n2924-SecondStageSimplificationStatusv3.pdf</x:v>
      </x:c>
    </x:row>
    <x:row r="115">
      <x:c r="A115" s="20" t="str">
        <x:v>1.1.114</x:v>
      </x:c>
      <x:c r="B115" s="20" t="n">
        <x:v>17</x:v>
      </x:c>
      <x:c r="C115" s="20" t="str">
        <x:v>Part One</x:v>
      </x:c>
      <x:c r="D115" s="20" t="str">
        <x:v>1.1</x:v>
      </x:c>
      <x:c r="E115" s="20" t="str">
        <x:v>Part One — Individual Simplifications</x:v>
      </x:c>
      <x:c r="F115" s="20" t="str">
        <x:v>7958 [UNUSED
H]</x:v>
      </x:c>
      <x:c r="G115" s="20" t="str">
        <x:v>祘</x:v>
      </x:c>
      <x:c r="H115" s="20" t="str">
        <x:v>算</x:v>
      </x:c>
      <x:c r="I115" s="20" t="str">
        <x:v>suàn</x:v>
      </x:c>
      <x:c r="J115" s="20" t="str">
        <x:v>7B97 [TGH 1]
“calculate, compute,
figure; include, count;
plan; think, suppose;
consider, regard/count as;
carry weight, count; let it
be/pass; at long last; in
the end; finally”</x:v>
      </x:c>
      <x:c r="K115" s="20" t="str"/>
      <x:c r="L115" s="20" t="str">
        <x:v>U+7958</x:v>
      </x:c>
      <x:c r="M115" s="20" t="str">
        <x:v>CJK Unified Ideographs</x:v>
      </x:c>
      <x:c r="N115" s="20" t="str">
        <x:v>Unicode code point recorded</x:v>
      </x:c>
      <x:c r="O115" s="20" t="str">
        <x:v>Low</x:v>
      </x:c>
      <x:c r="P115" s="20" t="str">
        <x:v>Structured</x:v>
      </x:c>
      <x:c r="Q115" s="20" t="str">
        <x:v>1.1.114 | 7958 [UNUSED / H] | 祘 | 算 | suàn | 7B97 [TGH 1] / “calculate, compute, / figure; include, count; / plan; think, suppose; / consider, regard/count as; / carry weight, count; let it / be/pass; at long last; in / the end; finally”</x:v>
      </x:c>
      <x:c r="R115" s="20" t="str">
        <x:v>Uploaded: n2924-SecondStageSimplificationStatusv3.pdf</x:v>
      </x:c>
    </x:row>
    <x:row r="116">
      <x:c r="A116" s="20" t="str">
        <x:v>1.1.115</x:v>
      </x:c>
      <x:c r="B116" s="20" t="n">
        <x:v>17</x:v>
      </x:c>
      <x:c r="C116" s="20" t="str">
        <x:v>Part One</x:v>
      </x:c>
      <x:c r="D116" s="20" t="str">
        <x:v>1.1</x:v>
      </x:c>
      <x:c r="E116" s="20" t="str">
        <x:v>Part One — Individual Simplifications</x:v>
      </x:c>
      <x:c r="F116" s="20" t="str">
        <x:v>592A [TGH 1]
“excessively,
too; extremely,
very; grand,
supreme;
more/most senior”</x:v>
      </x:c>
      <x:c r="G116" s="20" t="str">
        <x:v>太</x:v>
      </x:c>
      <x:c r="H116" s="20" t="str">
        <x:v>泰</x:v>
      </x:c>
      <x:c r="I116" s="20" t="str">
        <x:v>tài</x:v>
      </x:c>
      <x:c r="J116" s="20" t="str">
        <x:v>6CF0 [TGH 1]
“peace, quiet”</x:v>
      </x:c>
      <x:c r="K116" s="20" t="str"/>
      <x:c r="L116" s="20" t="str">
        <x:v>U+592A</x:v>
      </x:c>
      <x:c r="M116" s="20" t="str">
        <x:v>CJK Unified Ideographs</x:v>
      </x:c>
      <x:c r="N116" s="20" t="str">
        <x:v>Unicode code point recorded</x:v>
      </x:c>
      <x:c r="O116" s="20" t="str">
        <x:v>Low</x:v>
      </x:c>
      <x:c r="P116" s="20" t="str">
        <x:v>Structured</x:v>
      </x:c>
      <x:c r="Q116" s="20" t="str">
        <x:v>1.1.115 | 592A [TGH 1] / “excessively, / too; extremely, / very; grand, / supreme; / more/most senior” | 太 | 泰 | tài | 6CF0 [TGH 1] / “peace, quiet”</x:v>
      </x:c>
      <x:c r="R116" s="20" t="str">
        <x:v>Uploaded: n2924-SecondStageSimplificationStatusv3.pdf</x:v>
      </x:c>
    </x:row>
    <x:row r="117">
      <x:c r="A117" s="20" t="str">
        <x:v>1.1.116</x:v>
      </x:c>
      <x:c r="B117" s="20" t="n">
        <x:v>17</x:v>
      </x:c>
      <x:c r="C117" s="20" t="str">
        <x:v>Part One</x:v>
      </x:c>
      <x:c r="D117" s="20" t="str">
        <x:v>1.1</x:v>
      </x:c>
      <x:c r="E117" s="20" t="str">
        <x:v>Part One — Individual Simplifications</x:v>
      </x:c>
      <x:c r="F117" s="20" t="str">
        <x:v>679F [UNUSED
HMT]</x:v>
      </x:c>
      <x:c r="G117" s="20" t="str">
        <x:v>枟</x:v>
      </x:c>
      <x:c r="H117" s="20" t="str">
        <x:v>檀</x:v>
      </x:c>
      <x:c r="I117" s="20" t="str">
        <x:v>tán</x:v>
      </x:c>
      <x:c r="J117" s="20" t="str">
        <x:v>6A80 [TGH 1]
“sandalwood”</x:v>
      </x:c>
      <x:c r="K117" s="20" t="str"/>
      <x:c r="L117" s="20" t="str">
        <x:v>U+679F</x:v>
      </x:c>
      <x:c r="M117" s="20" t="str">
        <x:v>CJK Unified Ideographs</x:v>
      </x:c>
      <x:c r="N117" s="20" t="str">
        <x:v>Unicode code point recorded</x:v>
      </x:c>
      <x:c r="O117" s="20" t="str">
        <x:v>Low</x:v>
      </x:c>
      <x:c r="P117" s="20" t="str">
        <x:v>Structured</x:v>
      </x:c>
      <x:c r="Q117" s="20" t="str">
        <x:v>1.1.116 | 679F [UNUSED / HMT] | 枟 | 檀 | tán | 6A80 [TGH 1] / “sandalwood”</x:v>
      </x:c>
      <x:c r="R117" s="20" t="str">
        <x:v>Uploaded: n2924-SecondStageSimplificationStatusv3.pdf</x:v>
      </x:c>
    </x:row>
    <x:row r="118">
      <x:c r="A118" s="20" t="str">
        <x:v>1.1.117</x:v>
      </x:c>
      <x:c r="B118" s="20" t="n">
        <x:v>17</x:v>
      </x:c>
      <x:c r="C118" s="20" t="str">
        <x:v>Part One</x:v>
      </x:c>
      <x:c r="D118" s="20" t="str">
        <x:v>1.1</x:v>
      </x:c>
      <x:c r="E118" s="20" t="str">
        <x:v>Part One — Individual Simplifications</x:v>
      </x:c>
      <x:c r="F118" s="20" t="str">
        <x:v>30AA9
(⿰米广)</x:v>
      </x:c>
      <x:c r="G118" s="20" t="str">
        <x:v>𰪩𰪩</x:v>
      </x:c>
      <x:c r="H118" s="20" t="str">
        <x:v>糖</x:v>
      </x:c>
      <x:c r="I118" s="20" t="str">
        <x:v>táng</x:v>
      </x:c>
      <x:c r="J118" s="20" t="str">
        <x:v>7CD6 [TGH 1]
“sugar; carbohydrate;
sweets, candy”</x:v>
      </x:c>
      <x:c r="K118" s="20" t="str"/>
      <x:c r="L118" s="20" t="str">
        <x:v>U+30AA9</x:v>
      </x:c>
      <x:c r="M118" s="20" t="str">
        <x:v>CJK Unified Ideographs Extension G</x:v>
      </x:c>
      <x:c r="N118" s="20" t="str">
        <x:v>Encoded now — Extension G</x:v>
      </x:c>
      <x:c r="O118" s="20" t="str">
        <x:v>Low</x:v>
      </x:c>
      <x:c r="P118" s="20" t="str">
        <x:v>Structured</x:v>
      </x:c>
      <x:c r="Q118" s="20" t="str">
        <x:v>1.1.117 | 30AA9 / (⿰米广) | 𰪩𰪩 | 糖 | táng | 7CD6 [TGH 1] / “sugar; carbohydrate; / sweets, candy”</x:v>
      </x:c>
      <x:c r="R118" s="20" t="str">
        <x:v>Uploaded: n2924-SecondStageSimplificationStatusv3.pdf</x:v>
      </x:c>
    </x:row>
    <x:row r="119">
      <x:c r="A119" s="20" t="str">
        <x:v>1.1.118</x:v>
      </x:c>
      <x:c r="B119" s="20" t="n">
        <x:v>17</x:v>
      </x:c>
      <x:c r="C119" s="20" t="str">
        <x:v>Part One</x:v>
      </x:c>
      <x:c r="D119" s="20" t="str">
        <x:v>1.1</x:v>
      </x:c>
      <x:c r="E119" s="20" t="str">
        <x:v>Part One — Individual Simplifications</x:v>
      </x:c>
      <x:c r="F119" s="20" t="str">
        <x:v>302DB
(⿱大长)</x:v>
      </x:c>
      <x:c r="G119" s="20" t="str">
        <x:v>𰋛𰋛</x:v>
      </x:c>
      <x:c r="H119" s="20" t="str">
        <x:v>套</x:v>
      </x:c>
      <x:c r="I119" s="20" t="str">
        <x:v>tào</x:v>
      </x:c>
      <x:c r="J119" s="20" t="str">
        <x:v>5957 [TGH 1]
“sheath, case, cover,
sleeve; bend, curve (of
rivers/etc.); padding,
batting; traces, harness;
knot, noose, trap; cliché,</x:v>
      </x:c>
      <x:c r="K119" s="20" t="str"/>
      <x:c r="L119" s="20" t="str">
        <x:v>U+302DB</x:v>
      </x:c>
      <x:c r="M119" s="20" t="str">
        <x:v>CJK Unified Ideographs Extension G</x:v>
      </x:c>
      <x:c r="N119" s="20" t="str">
        <x:v>Encoded now — Extension G</x:v>
      </x:c>
      <x:c r="O119" s="20" t="str">
        <x:v>Low</x:v>
      </x:c>
      <x:c r="P119" s="20" t="str">
        <x:v>Structured</x:v>
      </x:c>
      <x:c r="Q119" s="20" t="str">
        <x:v>1.1.118 | 302DB / (⿱大长) | 𰋛𰋛 | 套 | tào | 5957 [TGH 1] / “sheath, case, cover, / sleeve; bend, curve (of / rivers/etc.); padding, / batting; traces, harness; / knot, noose, trap; cliché,</x:v>
      </x:c>
      <x:c r="R119" s="20" t="str">
        <x:v>Uploaded: n2924-SecondStageSimplificationStatusv3.pdf</x:v>
      </x:c>
    </x:row>
    <x:row r="120">
      <x:c r="A120" s="20" t="str">
        <x:v>1.1.119</x:v>
      </x:c>
      <x:c r="B120" s="20" t="n">
        <x:v>18</x:v>
      </x:c>
      <x:c r="C120" s="20" t="str">
        <x:v>Part One</x:v>
      </x:c>
      <x:c r="D120" s="20" t="str">
        <x:v>1.1</x:v>
      </x:c>
      <x:c r="E120" s="20" t="str">
        <x:v>Part One — Individual Simplifications</x:v>
      </x:c>
      <x:c r="F120" s="20" t="str">
        <x:v>31151
(⿱龹马)</x:v>
      </x:c>
      <x:c r="G120" s="20" t="str">
        <x:v>𱅑𱅑</x:v>
      </x:c>
      <x:c r="H120" s="20" t="str">
        <x:v>腾</x:v>
      </x:c>
      <x:c r="I120" s="20" t="str">
        <x:v>téng</x:v>
      </x:c>
      <x:c r="J120" s="20" t="str">
        <x:v>817E [TGH 1]
“gallop, prance; soar,
ascend; make room; suf.
(indicating quick and
repeated activity)”</x:v>
      </x:c>
      <x:c r="K120" s="20" t="str"/>
      <x:c r="L120" s="20" t="str">
        <x:v>U+31151</x:v>
      </x:c>
      <x:c r="M120" s="20" t="str">
        <x:v>CJK Unified Ideographs Extension G</x:v>
      </x:c>
      <x:c r="N120" s="20" t="str">
        <x:v>Encoded now — Extension G</x:v>
      </x:c>
      <x:c r="O120" s="20" t="str">
        <x:v>Low</x:v>
      </x:c>
      <x:c r="P120" s="20" t="str">
        <x:v>Structured</x:v>
      </x:c>
      <x:c r="Q120" s="20" t="str">
        <x:v>1.1.119 | 31151 / (⿱龹马) | 𱅑𱅑 | 腾 | téng | 817E [TGH 1] / “gallop, prance; soar, / ascend; make room; suf. / (indicating quick and / repeated activity)”</x:v>
      </x:c>
      <x:c r="R120" s="20" t="str">
        <x:v>Uploaded: n2924-SecondStageSimplificationStatusv3.pdf</x:v>
      </x:c>
    </x:row>
    <x:row r="121">
      <x:c r="A121" s="20" t="str">
        <x:v>1.1.120</x:v>
      </x:c>
      <x:c r="B121" s="20" t="n">
        <x:v>18</x:v>
      </x:c>
      <x:c r="C121" s="20" t="str">
        <x:v>Part One</x:v>
      </x:c>
      <x:c r="D121" s="20" t="str">
        <x:v>1.1</x:v>
      </x:c>
      <x:c r="E121" s="20" t="str">
        <x:v>Part One — Individual Simplifications</x:v>
      </x:c>
      <x:c r="F121" s="20" t="str">
        <x:v>4EC3 [TGH 2]
dīng
【 】língdīng
伶仃
“left alone
without help;
lonely”</x:v>
      </x:c>
      <x:c r="G121" s="20" t="str">
        <x:v>仃</x:v>
      </x:c>
      <x:c r="H121" s="20" t="str">
        <x:v>停</x:v>
      </x:c>
      <x:c r="I121" s="20" t="str">
        <x:v>tíng</x:v>
      </x:c>
      <x:c r="J121" s="20" t="str">
        <x:v>505C [TGH 1]
“stop, pause; stop over;
park, berth; ready,
settled; 〈coll.〉 part;
portion”</x:v>
      </x:c>
      <x:c r="K121" s="20" t="str"/>
      <x:c r="L121" s="20" t="str">
        <x:v>U+4EC3</x:v>
      </x:c>
      <x:c r="M121" s="20" t="str">
        <x:v>CJK Unified Ideographs</x:v>
      </x:c>
      <x:c r="N121" s="20" t="str">
        <x:v>Unicode code point recorded</x:v>
      </x:c>
      <x:c r="O121" s="20" t="str">
        <x:v>Low</x:v>
      </x:c>
      <x:c r="P121" s="20" t="str">
        <x:v>Structured</x:v>
      </x:c>
      <x:c r="Q121" s="20" t="str">
        <x:v>1.1.120 | 4EC3 [TGH 2] / dīng / 【 】língdīng / 伶仃 / “left alone / without help; / lonely” | 仃 | 停 | tíng | 505C [TGH 1] / “stop, pause; stop over; / park, berth; ready, / settled; 〈coll.〉 part; / portion”</x:v>
      </x:c>
      <x:c r="R121" s="20" t="str">
        <x:v>Uploaded: n2924-SecondStageSimplificationStatusv3.pdf</x:v>
      </x:c>
    </x:row>
    <x:row r="122">
      <x:c r="A122" s="20" t="str">
        <x:v>1.1.121</x:v>
      </x:c>
      <x:c r="B122" s="20" t="n">
        <x:v>18</x:v>
      </x:c>
      <x:c r="C122" s="20" t="str">
        <x:v>Part One</x:v>
      </x:c>
      <x:c r="D122" s="20" t="str">
        <x:v>1.1</x:v>
      </x:c>
      <x:c r="E122" s="20" t="str">
        <x:v>Part One — Individual Simplifications</x:v>
      </x:c>
      <x:c r="F122" s="20" t="str">
        <x:v>2E0B9
[UNUSED]</x:v>
      </x:c>
      <x:c r="G122" s="20" t="str">
        <x:v>𮂹𮂹</x:v>
      </x:c>
      <x:c r="H122" s="20" t="str">
        <x:v>稳</x:v>
      </x:c>
      <x:c r="I122" s="20" t="str">
        <x:v>wěn</x:v>
      </x:c>
      <x:c r="J122" s="20" t="str">
        <x:v>7A33 [TGH 1]
“firm, stable, steady;
staid, sedate; sure,
certain”</x:v>
      </x:c>
      <x:c r="K122" s="20" t="str"/>
      <x:c r="L122" s="20" t="str">
        <x:v>U+2E0B9</x:v>
      </x:c>
      <x:c r="M122" s="20" t="str">
        <x:v>CJK Unified Ideographs Extension F</x:v>
      </x:c>
      <x:c r="N122" s="20" t="str">
        <x:v>Unicode code point recorded</x:v>
      </x:c>
      <x:c r="O122" s="20" t="str">
        <x:v>Low</x:v>
      </x:c>
      <x:c r="P122" s="20" t="str">
        <x:v>Structured</x:v>
      </x:c>
      <x:c r="Q122" s="20" t="str">
        <x:v>1.1.121 | 2E0B9 / [UNUSED] | 𮂹𮂹 | 稳 | wěn | 7A33 [TGH 1] / “firm, stable, steady; / staid, sedate; sure, / certain”</x:v>
      </x:c>
      <x:c r="R122" s="20" t="str">
        <x:v>Uploaded: n2924-SecondStageSimplificationStatusv3.pdf</x:v>
      </x:c>
    </x:row>
    <x:row r="123">
      <x:c r="A123" s="20" t="str">
        <x:v>1.1.122</x:v>
      </x:c>
      <x:c r="B123" s="20" t="n">
        <x:v>18</x:v>
      </x:c>
      <x:c r="C123" s="20" t="str">
        <x:v>Part One</x:v>
      </x:c>
      <x:c r="D123" s="20" t="str">
        <x:v>1.1</x:v>
      </x:c>
      <x:c r="E123" s="20" t="str">
        <x:v>Part One — Individual Simplifications</x:v>
      </x:c>
      <x:c r="F123" s="20" t="str">
        <x:v>5348 [TGH 1]
“7th of the 12
Earthly Branches;
noon; midnight”</x:v>
      </x:c>
      <x:c r="G123" s="20" t="str">
        <x:v>午</x:v>
      </x:c>
      <x:c r="H123" s="20" t="str">
        <x:v>舞</x:v>
      </x:c>
      <x:c r="I123" s="20" t="str">
        <x:v>wǔ</x:v>
      </x:c>
      <x:c r="J123" s="20" t="str">
        <x:v>821E [TGH 1]
“dance; flourish, brandish;
play tricks with, juggle;
get; dance”</x:v>
      </x:c>
      <x:c r="K123" s="20" t="str"/>
      <x:c r="L123" s="20" t="str">
        <x:v>U+5348</x:v>
      </x:c>
      <x:c r="M123" s="20" t="str">
        <x:v>CJK Unified Ideographs</x:v>
      </x:c>
      <x:c r="N123" s="20" t="str">
        <x:v>Unicode code point recorded</x:v>
      </x:c>
      <x:c r="O123" s="20" t="str">
        <x:v>Low</x:v>
      </x:c>
      <x:c r="P123" s="20" t="str">
        <x:v>Structured</x:v>
      </x:c>
      <x:c r="Q123" s="20" t="str">
        <x:v>1.1.122 | 5348 [TGH 1] / “7th of the 12 / Earthly Branches; / noon; midnight” | 午 | 舞 | wǔ | 821E [TGH 1] / “dance; flourish, brandish; / play tricks with, juggle; / get; dance”</x:v>
      </x:c>
      <x:c r="R123" s="20" t="str">
        <x:v>Uploaded: n2924-SecondStageSimplificationStatusv3.pdf</x:v>
      </x:c>
    </x:row>
    <x:row r="124">
      <x:c r="A124" s="20" t="str">
        <x:v>1.1.123</x:v>
      </x:c>
      <x:c r="B124" s="20" t="n">
        <x:v>18</x:v>
      </x:c>
      <x:c r="C124" s="20" t="str">
        <x:v>Part One</x:v>
      </x:c>
      <x:c r="D124" s="20" t="str">
        <x:v>1.1</x:v>
      </x:c>
      <x:c r="E124" s="20" t="str">
        <x:v>Part One — Individual Simplifications</x:v>
      </x:c>
      <x:c r="F124" s="20" t="str">
        <x:v>5E0C [TGH 1]
“hope”</x:v>
      </x:c>
      <x:c r="G124" s="20" t="str">
        <x:v>希</x:v>
      </x:c>
      <x:c r="H124" s="20" t="str">
        <x:v>稀</x:v>
      </x:c>
      <x:c r="I124" s="20" t="str">
        <x:v>xī</x:v>
      </x:c>
      <x:c r="J124" s="20" t="str">
        <x:v>7A00 [TGH 1]
“sparse, scattered; watery,
thin; rare, scarce,
uncommon”</x:v>
      </x:c>
      <x:c r="K124" s="20" t="str"/>
      <x:c r="L124" s="20" t="str">
        <x:v>U+5E0C</x:v>
      </x:c>
      <x:c r="M124" s="20" t="str">
        <x:v>CJK Unified Ideographs</x:v>
      </x:c>
      <x:c r="N124" s="20" t="str">
        <x:v>Unicode code point recorded</x:v>
      </x:c>
      <x:c r="O124" s="20" t="str">
        <x:v>Low</x:v>
      </x:c>
      <x:c r="P124" s="20" t="str">
        <x:v>Structured</x:v>
      </x:c>
      <x:c r="Q124" s="20" t="str">
        <x:v>1.1.123 | 5E0C [TGH 1] / “hope” | 希 | 稀 | xī | 7A00 [TGH 1] / “sparse, scattered; watery, / thin; rare, scarce, / uncommon”</x:v>
      </x:c>
      <x:c r="R124" s="20" t="str">
        <x:v>Uploaded: n2924-SecondStageSimplificationStatusv3.pdf</x:v>
      </x:c>
    </x:row>
    <x:row r="125">
      <x:c r="A125" s="20" t="str">
        <x:v>1.1.124</x:v>
      </x:c>
      <x:c r="B125" s="20" t="n">
        <x:v>18</x:v>
      </x:c>
      <x:c r="C125" s="20" t="str">
        <x:v>Part One</x:v>
      </x:c>
      <x:c r="D125" s="20" t="str">
        <x:v>1.1</x:v>
      </x:c>
      <x:c r="E125" s="20" t="str">
        <x:v>Part One — Individual Simplifications</x:v>
      </x:c>
      <x:c r="F125" s="20" t="str">
        <x:v>606F [TGH 1]
“cease; rest;
grow, multiply;
breath; news;
interest; 〈wr.〉
one's children”</x:v>
      </x:c>
      <x:c r="G125" s="20" t="str">
        <x:v>息</x:v>
      </x:c>
      <x:c r="H125" s="20" t="str">
        <x:v>熄</x:v>
      </x:c>
      <x:c r="I125" s="20" t="str">
        <x:v>xī</x:v>
      </x:c>
      <x:c r="J125" s="20" t="str">
        <x:v>7184 [TGH 1]
“extinguish, put out”</x:v>
      </x:c>
      <x:c r="K125" s="20" t="str"/>
      <x:c r="L125" s="20" t="str">
        <x:v>U+606F</x:v>
      </x:c>
      <x:c r="M125" s="20" t="str">
        <x:v>CJK Unified Ideographs</x:v>
      </x:c>
      <x:c r="N125" s="20" t="str">
        <x:v>Unicode code point recorded</x:v>
      </x:c>
      <x:c r="O125" s="20" t="str">
        <x:v>Low</x:v>
      </x:c>
      <x:c r="P125" s="20" t="str">
        <x:v>Structured</x:v>
      </x:c>
      <x:c r="Q125" s="20" t="str">
        <x:v>1.1.124 | 606F [TGH 1] / “cease; rest; / grow, multiply; / breath; news; / interest; 〈wr.〉 / one's children” | 息 | 熄 | xī | 7184 [TGH 1] / “extinguish, put out”</x:v>
      </x:c>
      <x:c r="R125" s="20" t="str">
        <x:v>Uploaded: n2924-SecondStageSimplificationStatusv3.pdf</x:v>
      </x:c>
    </x:row>
    <x:row r="126">
      <x:c r="A126" s="20" t="str">
        <x:v>1.1.125</x:v>
      </x:c>
      <x:c r="B126" s="20" t="n">
        <x:v>18</x:v>
      </x:c>
      <x:c r="C126" s="20" t="str">
        <x:v>Part One</x:v>
      </x:c>
      <x:c r="D126" s="20" t="str">
        <x:v>1.1</x:v>
      </x:c>
      <x:c r="E126" s="20" t="str">
        <x:v>Part One — Individual Simplifications</x:v>
      </x:c>
      <x:c r="F126" s="20" t="str">
        <x:v>3094C
(⿰目下)</x:v>
      </x:c>
      <x:c r="G126" s="20" t="str">
        <x:v>𰥌𰥌</x:v>
      </x:c>
      <x:c r="H126" s="20" t="str">
        <x:v>瞎</x:v>
      </x:c>
      <x:c r="I126" s="20" t="str">
        <x:v>xiā</x:v>
      </x:c>
      <x:c r="J126" s="20" t="str">
        <x:v>778E [TGH 1]
“be/become blind; 〈topo.〉
become tangled (of
thread/etc.); 〈slang〉 find
oneself at a loss (as to
what to do); 〈coll.〉 fail
to explode (of a
bullet/grenade/shell/etc.);
be a dud; groundlessly,
foolishly, to no purpose”</x:v>
      </x:c>
      <x:c r="K126" s="20" t="str"/>
      <x:c r="L126" s="20" t="str">
        <x:v>U+3094C</x:v>
      </x:c>
      <x:c r="M126" s="20" t="str">
        <x:v>CJK Unified Ideographs Extension G</x:v>
      </x:c>
      <x:c r="N126" s="20" t="str">
        <x:v>Encoded now — Extension G</x:v>
      </x:c>
      <x:c r="O126" s="20" t="str">
        <x:v>Low</x:v>
      </x:c>
      <x:c r="P126" s="20" t="str">
        <x:v>Structured</x:v>
      </x:c>
      <x:c r="Q126" s="20" t="str">
        <x:v>1.1.125 | 3094C / (⿰目下) | 𰥌𰥌 | 瞎 | xiā | 778E [TGH 1] / “be/become blind; 〈topo.〉 / become tangled (of / thread/etc.); 〈slang〉 find / oneself at a loss (as to / what to do); 〈coll.〉 fail / to explode (of a / bullet/grenade/shell/etc.); / be a dud; groundlessly, / foolishly, to no purpose”</x:v>
      </x:c>
      <x:c r="R126" s="20" t="str">
        <x:v>Uploaded: n2924-SecondStageSimplificationStatusv3.pdf</x:v>
      </x:c>
    </x:row>
    <x:row r="127">
      <x:c r="A127" s="20" t="str">
        <x:v>1.1.126</x:v>
      </x:c>
      <x:c r="B127" s="20" t="n">
        <x:v>18</x:v>
      </x:c>
      <x:c r="C127" s="20" t="str">
        <x:v>Part One</x:v>
      </x:c>
      <x:c r="D127" s="20" t="str">
        <x:v>1.1</x:v>
      </x:c>
      <x:c r="E127" s="20" t="str">
        <x:v>Part One — Individual Simplifications</x:v>
      </x:c>
      <x:c r="F127" s="20" t="str">
        <x:v>30F59
(⿰钅上)</x:v>
      </x:c>
      <x:c r="G127" s="20" t="str">
        <x:v>𰽙𰽙</x:v>
      </x:c>
      <x:c r="H127" s="20" t="str">
        <x:v>镶</x:v>
      </x:c>
      <x:c r="I127" s="20" t="str">
        <x:v>xiāng</x:v>
      </x:c>
      <x:c r="J127" s="20" t="str">
        <x:v>9576 [TGH 1]
“inlay, set, mount; rim,
edge, border”</x:v>
      </x:c>
      <x:c r="K127" s="20" t="str"/>
      <x:c r="L127" s="20" t="str">
        <x:v>U+30F59</x:v>
      </x:c>
      <x:c r="M127" s="20" t="str">
        <x:v>CJK Unified Ideographs Extension G</x:v>
      </x:c>
      <x:c r="N127" s="20" t="str">
        <x:v>Encoded now — Extension G</x:v>
      </x:c>
      <x:c r="O127" s="20" t="str">
        <x:v>Low</x:v>
      </x:c>
      <x:c r="P127" s="20" t="str">
        <x:v>Structured</x:v>
      </x:c>
      <x:c r="Q127" s="20" t="str">
        <x:v>1.1.126 | 30F59 / (⿰钅上) | 𰽙𰽙 | 镶 | xiāng | 9576 [TGH 1] / “inlay, set, mount; rim, / edge, border”</x:v>
      </x:c>
      <x:c r="R127" s="20" t="str">
        <x:v>Uploaded: n2924-SecondStageSimplificationStatusv3.pdf</x:v>
      </x:c>
    </x:row>
    <x:row r="128">
      <x:c r="A128" s="20" t="str">
        <x:v>1.1.127</x:v>
      </x:c>
      <x:c r="B128" s="20" t="n">
        <x:v>19</x:v>
      </x:c>
      <x:c r="C128" s="20" t="str">
        <x:v>Part One</x:v>
      </x:c>
      <x:c r="D128" s="20" t="str">
        <x:v>1.1</x:v>
      </x:c>
      <x:c r="E128" s="20" t="str">
        <x:v>Part One — Individual Simplifications</x:v>
      </x:c>
      <x:c r="F128" s="20" t="str">
        <x:v>2C0AD
[UNUSED]</x:v>
      </x:c>
      <x:c r="G128" s="20" t="str">
        <x:v>𬂭𬂭</x:v>
      </x:c>
      <x:c r="H128" s="20" t="str">
        <x:v>橡</x:v>
      </x:c>
      <x:c r="I128" s="20" t="str">
        <x:v>xiàng</x:v>
      </x:c>
      <x:c r="J128" s="20" t="str">
        <x:v>6A61 [TGH 1]
“oak; rubber tree, rubber”</x:v>
      </x:c>
      <x:c r="K128" s="20" t="str"/>
      <x:c r="L128" s="20" t="str">
        <x:v>U+2C0AD</x:v>
      </x:c>
      <x:c r="M128" s="20" t="str">
        <x:v>CJK Unified Ideographs Extension E</x:v>
      </x:c>
      <x:c r="N128" s="20" t="str">
        <x:v>Unicode code point recorded</x:v>
      </x:c>
      <x:c r="O128" s="20" t="str">
        <x:v>Low</x:v>
      </x:c>
      <x:c r="P128" s="20" t="str">
        <x:v>Structured</x:v>
      </x:c>
      <x:c r="Q128" s="20" t="str">
        <x:v>1.1.127 | 2C0AD / [UNUSED] | 𬂭𬂭 | 橡 | xiàng | 6A61 [TGH 1] / “oak; rubber tree, rubber”</x:v>
      </x:c>
      <x:c r="R128" s="20" t="str">
        <x:v>Uploaded: n2924-SecondStageSimplificationStatusv3.pdf</x:v>
      </x:c>
    </x:row>
    <x:row r="129">
      <x:c r="A129" s="20" t="str">
        <x:v>1.1.128</x:v>
      </x:c>
      <x:c r="B129" s="20" t="n">
        <x:v>19</x:v>
      </x:c>
      <x:c r="C129" s="20" t="str">
        <x:v>Part One</x:v>
      </x:c>
      <x:c r="D129" s="20" t="str">
        <x:v>1.1</x:v>
      </x:c>
      <x:c r="E129" s="20" t="str">
        <x:v>Part One — Individual Simplifications</x:v>
      </x:c>
      <x:c r="F129" s="20" t="str">
        <x:v>8096 [TGH 1]
xiāo
A surname
xiào
“like, similar;
likeness”</x:v>
      </x:c>
      <x:c r="G129" s="20" t="str">
        <x:v>肖</x:v>
      </x:c>
      <x:c r="H129" s="20" t="str">
        <x:v>萧</x:v>
      </x:c>
      <x:c r="I129" s="20" t="str">
        <x:v>xiāo</x:v>
      </x:c>
      <x:c r="J129" s="20" t="str">
        <x:v>8427 [TGH 1]
“desolate, bleak”</x:v>
      </x:c>
      <x:c r="K129" s="20" t="str"/>
      <x:c r="L129" s="20" t="str">
        <x:v>U+8096</x:v>
      </x:c>
      <x:c r="M129" s="20" t="str">
        <x:v>CJK Unified Ideographs</x:v>
      </x:c>
      <x:c r="N129" s="20" t="str">
        <x:v>Unicode code point recorded</x:v>
      </x:c>
      <x:c r="O129" s="20" t="str">
        <x:v>Low</x:v>
      </x:c>
      <x:c r="P129" s="20" t="str">
        <x:v>Structured</x:v>
      </x:c>
      <x:c r="Q129" s="20" t="str">
        <x:v>1.1.128 | 8096 [TGH 1] / xiāo / A surname / xiào / “like, similar; / likeness” | 肖 | 萧 | xiāo | 8427 [TGH 1] / “desolate, bleak”</x:v>
      </x:c>
      <x:c r="R129" s="20" t="str">
        <x:v>Uploaded: n2924-SecondStageSimplificationStatusv3.pdf</x:v>
      </x:c>
    </x:row>
    <x:row r="130">
      <x:c r="A130" s="20" t="str">
        <x:v>1.1.129</x:v>
      </x:c>
      <x:c r="B130" s="20" t="n">
        <x:v>19</x:v>
      </x:c>
      <x:c r="C130" s="20" t="str">
        <x:v>Part One</x:v>
      </x:c>
      <x:c r="D130" s="20" t="str">
        <x:v>1.1</x:v>
      </x:c>
      <x:c r="E130" s="20" t="str">
        <x:v>Part One — Individual Simplifications</x:v>
      </x:c>
      <x:c r="F130" s="20" t="str">
        <x:v>301BB
(⿰又圭)</x:v>
      </x:c>
      <x:c r="G130" s="20" t="str">
        <x:v>𰆻𰆻</x:v>
      </x:c>
      <x:c r="H130" s="20" t="str">
        <x:v>鞋</x:v>
      </x:c>
      <x:c r="I130" s="20" t="str">
        <x:v>xié</x:v>
      </x:c>
      <x:c r="J130" s="20" t="str">
        <x:v>978B [TGH 1]
“shoes”</x:v>
      </x:c>
      <x:c r="K130" s="20" t="str"/>
      <x:c r="L130" s="20" t="str">
        <x:v>U+301BB</x:v>
      </x:c>
      <x:c r="M130" s="20" t="str">
        <x:v>CJK Unified Ideographs Extension G</x:v>
      </x:c>
      <x:c r="N130" s="20" t="str">
        <x:v>Encoded now — Extension G</x:v>
      </x:c>
      <x:c r="O130" s="20" t="str">
        <x:v>Low</x:v>
      </x:c>
      <x:c r="P130" s="20" t="str">
        <x:v>Structured</x:v>
      </x:c>
      <x:c r="Q130" s="20" t="str">
        <x:v>1.1.129 | 301BB / (⿰又圭) | 𰆻𰆻 | 鞋 | xié | 978B [TGH 1] / “shoes”</x:v>
      </x:c>
      <x:c r="R130" s="20" t="str">
        <x:v>Uploaded: n2924-SecondStageSimplificationStatusv3.pdf</x:v>
      </x:c>
    </x:row>
    <x:row r="131">
      <x:c r="A131" s="20" t="str">
        <x:v>1.1.130</x:v>
      </x:c>
      <x:c r="B131" s="20" t="n">
        <x:v>19</x:v>
      </x:c>
      <x:c r="C131" s="20" t="str">
        <x:v>Part One</x:v>
      </x:c>
      <x:c r="D131" s="20" t="str">
        <x:v>1.1</x:v>
      </x:c>
      <x:c r="E131" s="20" t="str">
        <x:v>Part One — Individual Simplifications</x:v>
      </x:c>
      <x:c r="F131" s="20" t="str">
        <x:v>4F29 [UNUSED
H]</x:v>
      </x:c>
      <x:c r="G131" s="20" t="str">
        <x:v>伩</x:v>
      </x:c>
      <x:c r="H131" s="20" t="str">
        <x:v>信</x:v>
      </x:c>
      <x:c r="I131" s="20" t="str">
        <x:v>xìn</x:v>
      </x:c>
      <x:c r="J131" s="20" t="str">
        <x:v>4FE1 [TGH 1]
“letter, mail’ believe,
give credence to; message,
word, information;
confidence, trust, faith;
sign, evidence; at
will/random, without a
plan; true; fuse”</x:v>
      </x:c>
      <x:c r="K131" s="20" t="str"/>
      <x:c r="L131" s="20" t="str">
        <x:v>U+4F29</x:v>
      </x:c>
      <x:c r="M131" s="20" t="str">
        <x:v>CJK Unified Ideographs</x:v>
      </x:c>
      <x:c r="N131" s="20" t="str">
        <x:v>Unicode code point recorded</x:v>
      </x:c>
      <x:c r="O131" s="20" t="str">
        <x:v>Low</x:v>
      </x:c>
      <x:c r="P131" s="20" t="str">
        <x:v>Structured</x:v>
      </x:c>
      <x:c r="Q131" s="20" t="str">
        <x:v>1.1.130 | 4F29 [UNUSED / H] | 伩 | 信 | xìn | 4FE1 [TGH 1] / “letter, mail’ believe, / give credence to; message, / word, information; / confidence, trust, faith; / sign, evidence; at / will/random, without a / plan; true; fuse”</x:v>
      </x:c>
      <x:c r="R131" s="20" t="str">
        <x:v>Uploaded: n2924-SecondStageSimplificationStatusv3.pdf</x:v>
      </x:c>
    </x:row>
    <x:row r="132">
      <x:c r="A132" s="20" t="str">
        <x:v>1.1.131</x:v>
      </x:c>
      <x:c r="B132" s="20" t="n">
        <x:v>19</x:v>
      </x:c>
      <x:c r="C132" s="20" t="str">
        <x:v>Part One</x:v>
      </x:c>
      <x:c r="D132" s="20" t="str">
        <x:v>1.1</x:v>
      </x:c>
      <x:c r="E132" s="20" t="str">
        <x:v>Part One — Individual Simplifications</x:v>
      </x:c>
      <x:c r="F132" s="20" t="str">
        <x:v>53B7 [UNUSED]</x:v>
      </x:c>
      <x:c r="G132" s="20" t="str">
        <x:v>厷</x:v>
      </x:c>
      <x:c r="H132" s="20" t="str">
        <x:v>雄</x:v>
      </x:c>
      <x:c r="I132" s="20" t="str">
        <x:v>xióng</x:v>
      </x:c>
      <x:c r="J132" s="20" t="str">
        <x:v>96C4 [TGH 1]
“male; grand, imposing;
powerful/influential
person/state/etc.;
powerful, mighty”</x:v>
      </x:c>
      <x:c r="K132" s="20" t="str"/>
      <x:c r="L132" s="20" t="str">
        <x:v>U+53B7</x:v>
      </x:c>
      <x:c r="M132" s="20" t="str">
        <x:v>CJK Unified Ideographs</x:v>
      </x:c>
      <x:c r="N132" s="20" t="str">
        <x:v>Unicode code point recorded</x:v>
      </x:c>
      <x:c r="O132" s="20" t="str">
        <x:v>Low</x:v>
      </x:c>
      <x:c r="P132" s="20" t="str">
        <x:v>Structured</x:v>
      </x:c>
      <x:c r="Q132" s="20" t="str">
        <x:v>1.1.131 | 53B7 [UNUSED] | 厷 | 雄 | xióng | 96C4 [TGH 1] / “male; grand, imposing; / powerful/influential / person/state/etc.; / powerful, mighty”</x:v>
      </x:c>
      <x:c r="R132" s="20" t="str">
        <x:v>Uploaded: n2924-SecondStageSimplificationStatusv3.pdf</x:v>
      </x:c>
    </x:row>
    <x:row r="133">
      <x:c r="A133" s="20" t="str">
        <x:v>1.1.132</x:v>
      </x:c>
      <x:c r="B133" s="20" t="n">
        <x:v>19</x:v>
      </x:c>
      <x:c r="C133" s="20" t="str">
        <x:v>Part One</x:v>
      </x:c>
      <x:c r="D133" s="20" t="str">
        <x:v>1.1</x:v>
      </x:c>
      <x:c r="E133" s="20" t="str">
        <x:v>Part One — Individual Simplifications</x:v>
      </x:c>
      <x:c r="F133" s="20" t="str">
        <x:v>38CA [UNUSED]</x:v>
      </x:c>
      <x:c r="G133" s="20" t="str">
        <x:v>㣊</x:v>
      </x:c>
      <x:c r="H133" s="20" t="str">
        <x:v>修</x:v>
      </x:c>
      <x:c r="I133" s="20" t="str">
        <x:v>xiū</x:v>
      </x:c>
      <x:c r="J133" s="20" t="str">
        <x:v>4FEE [TGH 1]
“embellish, decorate;
repair, mend, overhaul;
write, compile; study,
cultivate; build,
construct; trim, prune;
〈wr.〉 long, tall and
slender”</x:v>
      </x:c>
      <x:c r="K133" s="20" t="str"/>
      <x:c r="L133" s="20" t="str">
        <x:v>U+38CA</x:v>
      </x:c>
      <x:c r="M133" s="20" t="str">
        <x:v>CJK Unified Ideographs Extension A</x:v>
      </x:c>
      <x:c r="N133" s="20" t="str">
        <x:v>Unicode code point recorded</x:v>
      </x:c>
      <x:c r="O133" s="20" t="str">
        <x:v>Low</x:v>
      </x:c>
      <x:c r="P133" s="20" t="str">
        <x:v>Structured</x:v>
      </x:c>
      <x:c r="Q133" s="20" t="str">
        <x:v>1.1.132 | 38CA [UNUSED] | 㣊 | 修 | xiū | 4FEE [TGH 1] / “embellish, decorate; / repair, mend, overhaul; / write, compile; study, / cultivate; build, / construct; trim, prune; / 〈wr.〉 long, tall and / slender”</x:v>
      </x:c>
      <x:c r="R133" s="20" t="str">
        <x:v>Uploaded: n2924-SecondStageSimplificationStatusv3.pdf</x:v>
      </x:c>
    </x:row>
    <x:row r="134">
      <x:c r="A134" s="20" t="str">
        <x:v>1.1.133</x:v>
      </x:c>
      <x:c r="B134" s="20" t="n">
        <x:v>19</x:v>
      </x:c>
      <x:c r="C134" s="20" t="str">
        <x:v>Part One</x:v>
      </x:c>
      <x:c r="D134" s="20" t="str">
        <x:v>1.1</x:v>
      </x:c>
      <x:c r="E134" s="20" t="str">
        <x:v>Part One — Individual Simplifications</x:v>
      </x:c>
      <x:c r="F134" s="20" t="str">
        <x:v>3749 [UNUSED]</x:v>
      </x:c>
      <x:c r="G134" s="20" t="str">
        <x:v>㝉</x:v>
      </x:c>
      <x:c r="H134" s="20" t="str">
        <x:v>宣</x:v>
      </x:c>
      <x:c r="I134" s="20" t="str">
        <x:v>xuān</x:v>
      </x:c>
      <x:c r="J134" s="20" t="str">
        <x:v>5BA3 [TGH 1]
“declare, proclaim,
announce; drain off
(liquids)”</x:v>
      </x:c>
      <x:c r="K134" s="20" t="str"/>
      <x:c r="L134" s="20" t="str">
        <x:v>U+3749</x:v>
      </x:c>
      <x:c r="M134" s="20" t="str">
        <x:v>CJK Unified Ideographs Extension A</x:v>
      </x:c>
      <x:c r="N134" s="20" t="str">
        <x:v>Unicode code point recorded</x:v>
      </x:c>
      <x:c r="O134" s="20" t="str">
        <x:v>Low</x:v>
      </x:c>
      <x:c r="P134" s="20" t="str">
        <x:v>Structured</x:v>
      </x:c>
      <x:c r="Q134" s="20" t="str">
        <x:v>1.1.133 | 3749 [UNUSED] | 㝉 | 宣 | xuān | 5BA3 [TGH 1] / “declare, proclaim, / announce; drain off / (liquids)”</x:v>
      </x:c>
      <x:c r="R134" s="20" t="str">
        <x:v>Uploaded: n2924-SecondStageSimplificationStatusv3.pdf</x:v>
      </x:c>
    </x:row>
    <x:row r="135">
      <x:c r="A135" s="20" t="str">
        <x:v>1.1.134</x:v>
      </x:c>
      <x:c r="B135" s="20" t="n">
        <x:v>19</x:v>
      </x:c>
      <x:c r="C135" s="20" t="str">
        <x:v>Part One</x:v>
      </x:c>
      <x:c r="D135" s="20" t="str">
        <x:v>1.1</x:v>
      </x:c>
      <x:c r="E135" s="20" t="str">
        <x:v>Part One — Individual Simplifications</x:v>
      </x:c>
      <x:c r="F135" s="20" t="str">
        <x:v>3F8C [UNUSED]</x:v>
      </x:c>
      <x:c r="G135" s="20" t="str">
        <x:v>㾌</x:v>
      </x:c>
      <x:c r="H135" s="20" t="str">
        <x:v>癣</x:v>
      </x:c>
      <x:c r="I135" s="20" t="str">
        <x:v>xuǎn</x:v>
      </x:c>
      <x:c r="J135" s="20" t="str">
        <x:v>7663 [TGH 1]
“ringworm, tinea; mange”</x:v>
      </x:c>
      <x:c r="K135" s="20" t="str"/>
      <x:c r="L135" s="20" t="str">
        <x:v>U+3F8C</x:v>
      </x:c>
      <x:c r="M135" s="20" t="str">
        <x:v>CJK Unified Ideographs Extension A</x:v>
      </x:c>
      <x:c r="N135" s="20" t="str">
        <x:v>Unicode code point recorded</x:v>
      </x:c>
      <x:c r="O135" s="20" t="str">
        <x:v>Low</x:v>
      </x:c>
      <x:c r="P135" s="20" t="str">
        <x:v>Structured</x:v>
      </x:c>
      <x:c r="Q135" s="20" t="str">
        <x:v>1.1.134 | 3F8C [UNUSED] | 㾌 | 癣 | xuǎn | 7663 [TGH 1] / “ringworm, tinea; mange”</x:v>
      </x:c>
      <x:c r="R135" s="20" t="str">
        <x:v>Uploaded: n2924-SecondStageSimplificationStatusv3.pdf</x:v>
      </x:c>
    </x:row>
    <x:row r="136">
      <x:c r="A136" s="20" t="str">
        <x:v>1.1.135</x:v>
      </x:c>
      <x:c r="B136" s="20" t="n">
        <x:v>19</x:v>
      </x:c>
      <x:c r="C136" s="20" t="str">
        <x:v>Part One</x:v>
      </x:c>
      <x:c r="D136" s="20" t="str">
        <x:v>1.1</x:v>
      </x:c>
      <x:c r="E136" s="20" t="str">
        <x:v>Part One — Individual Simplifications</x:v>
      </x:c>
      <x:c r="F136" s="20" t="str">
        <x:v>301B3
(⿰又化)</x:v>
      </x:c>
      <x:c r="G136" s="20" t="str">
        <x:v>𰆳𰆳</x:v>
      </x:c>
      <x:c r="H136" s="20" t="str">
        <x:v>靴</x:v>
      </x:c>
      <x:c r="I136" s="20" t="str">
        <x:v>xuē</x:v>
      </x:c>
      <x:c r="J136" s="20" t="str">
        <x:v>9774 [TGH 1]
“boots”</x:v>
      </x:c>
      <x:c r="K136" s="20" t="str"/>
      <x:c r="L136" s="20" t="str">
        <x:v>U+301B3</x:v>
      </x:c>
      <x:c r="M136" s="20" t="str">
        <x:v>CJK Unified Ideographs Extension G</x:v>
      </x:c>
      <x:c r="N136" s="20" t="str">
        <x:v>Encoded now — Extension G</x:v>
      </x:c>
      <x:c r="O136" s="20" t="str">
        <x:v>Low</x:v>
      </x:c>
      <x:c r="P136" s="20" t="str">
        <x:v>Structured</x:v>
      </x:c>
      <x:c r="Q136" s="20" t="str">
        <x:v>1.1.135 | 301B3 / (⿰又化) | 𰆳𰆳 | 靴 | xuē | 9774 [TGH 1] / “boots”</x:v>
      </x:c>
      <x:c r="R136" s="20" t="str">
        <x:v>Uploaded: n2924-SecondStageSimplificationStatusv3.pdf</x:v>
      </x:c>
    </x:row>
    <x:row r="137">
      <x:c r="A137" s="20" t="str">
        <x:v>1.1.136</x:v>
      </x:c>
      <x:c r="B137" s="20" t="n">
        <x:v>19</x:v>
      </x:c>
      <x:c r="C137" s="20" t="str">
        <x:v>Part One</x:v>
      </x:c>
      <x:c r="D137" s="20" t="str">
        <x:v>1.1</x:v>
      </x:c>
      <x:c r="E137" s="20" t="str">
        <x:v>Part One — Individual Simplifications</x:v>
      </x:c>
      <x:c r="F137" s="20" t="str">
        <x:v>5F50 ( )12
彐</x:v>
      </x:c>
      <x:c r="G137" s="20" t="str">
        <x:v>雪</x:v>
      </x:c>
      <x:c r="H137" s="20" t="str">
        <x:v>雪</x:v>
      </x:c>
      <x:c r="I137" s="20" t="str">
        <x:v>xuě</x:v>
      </x:c>
      <x:c r="J137" s="20" t="str">
        <x:v>96EA [TGH 1]</x:v>
      </x:c>
      <x:c r="K137" s="20" t="str"/>
      <x:c r="L137" s="20" t="str">
        <x:v>U+5F50</x:v>
      </x:c>
      <x:c r="M137" s="20" t="str">
        <x:v>CJK Unified Ideographs</x:v>
      </x:c>
      <x:c r="N137" s="20" t="str">
        <x:v>Unicode code point recorded</x:v>
      </x:c>
      <x:c r="O137" s="20" t="str">
        <x:v>Low</x:v>
      </x:c>
      <x:c r="P137" s="20" t="str">
        <x:v>Structured</x:v>
      </x:c>
      <x:c r="Q137" s="20" t="str">
        <x:v>1.1.136 | 5F50 ( )12 / 彐 | 雪 | 雪 | xuě | 96EA [TGH 1]</x:v>
      </x:c>
      <x:c r="R137" s="20" t="str">
        <x:v>Uploaded: n2924-SecondStageSimplificationStatusv3.pdf</x:v>
      </x:c>
    </x:row>
    <x:row r="138">
      <x:c r="A138" s="20" t="str">
        <x:v>1.1.137</x:v>
      </x:c>
      <x:c r="B138" s="20" t="n">
        <x:v>20</x:v>
      </x:c>
      <x:c r="C138" s="20" t="str">
        <x:v>Part One</x:v>
      </x:c>
      <x:c r="D138" s="20" t="str">
        <x:v>1.1</x:v>
      </x:c>
      <x:c r="E138" s="20" t="str">
        <x:v>Part One — Individual Simplifications</x:v>
      </x:c>
      <x:c r="F138" s="20" t="str">
        <x:v>95EB [TGH 3]
used in people’s
names</x:v>
      </x:c>
      <x:c r="G138" s="20" t="str">
        <x:v>闫</x:v>
      </x:c>
      <x:c r="H138" s="20" t="str">
        <x:v>阎</x:v>
      </x:c>
      <x:c r="I138" s="20" t="str">
        <x:v>yán</x:v>
      </x:c>
      <x:c r="J138" s="20" t="str">
        <x:v>960E [TGH 1]
A surname</x:v>
      </x:c>
      <x:c r="K138" s="20" t="str"/>
      <x:c r="L138" s="20" t="str">
        <x:v>U+95EB</x:v>
      </x:c>
      <x:c r="M138" s="20" t="str">
        <x:v>CJK Unified Ideographs</x:v>
      </x:c>
      <x:c r="N138" s="20" t="str">
        <x:v>Unicode code point recorded</x:v>
      </x:c>
      <x:c r="O138" s="20" t="str">
        <x:v>Low</x:v>
      </x:c>
      <x:c r="P138" s="20" t="str">
        <x:v>Structured</x:v>
      </x:c>
      <x:c r="Q138" s="20" t="str">
        <x:v>1.1.137 | 95EB [TGH 3] / used in people’s / names | 闫 | 阎 | yán | 960E [TGH 1] / A surname</x:v>
      </x:c>
      <x:c r="R138" s="20" t="str">
        <x:v>Uploaded: n2924-SecondStageSimplificationStatusv3.pdf</x:v>
      </x:c>
    </x:row>
    <x:row r="139">
      <x:c r="A139" s="20" t="str">
        <x:v>1.1.138</x:v>
      </x:c>
      <x:c r="B139" s="20" t="n">
        <x:v>20</x:v>
      </x:c>
      <x:c r="C139" s="20" t="str">
        <x:v>Part One</x:v>
      </x:c>
      <x:c r="D139" s="20" t="str">
        <x:v>1.1</x:v>
      </x:c>
      <x:c r="E139" s="20" t="str">
        <x:v>Part One — Individual Simplifications</x:v>
      </x:c>
      <x:c r="F139" s="20" t="str">
        <x:v>306D1
(⿰氵㝉)</x:v>
      </x:c>
      <x:c r="G139" s="20" t="str">
        <x:v>𰛑𰛑</x:v>
      </x:c>
      <x:c r="H139" s="20" t="str">
        <x:v>演</x:v>
      </x:c>
      <x:c r="I139" s="20" t="str">
        <x:v>yǎn</x:v>
      </x:c>
      <x:c r="J139" s="20" t="str">
        <x:v>6F14 [TGH 1]
“perform, play, act;
develop, evolve; drill,
practice; deduce,
elaborate; progressive”</x:v>
      </x:c>
      <x:c r="K139" s="20" t="str"/>
      <x:c r="L139" s="20" t="str">
        <x:v>U+306D1</x:v>
      </x:c>
      <x:c r="M139" s="20" t="str">
        <x:v>CJK Unified Ideographs Extension G</x:v>
      </x:c>
      <x:c r="N139" s="20" t="str">
        <x:v>Encoded now — Extension G</x:v>
      </x:c>
      <x:c r="O139" s="20" t="str">
        <x:v>Low</x:v>
      </x:c>
      <x:c r="P139" s="20" t="str">
        <x:v>Structured</x:v>
      </x:c>
      <x:c r="Q139" s="20" t="str">
        <x:v>1.1.138 | 306D1 / (⿰氵㝉) | 𰛑𰛑 | 演 | yǎn | 6F14 [TGH 1] / “perform, play, act; / develop, evolve; drill, / practice; deduce, / elaborate; progressive”</x:v>
      </x:c>
      <x:c r="R139" s="20" t="str">
        <x:v>Uploaded: n2924-SecondStageSimplificationStatusv3.pdf</x:v>
      </x:c>
    </x:row>
    <x:row r="140">
      <x:c r="A140" s="20" t="str">
        <x:v>1.1.139</x:v>
      </x:c>
      <x:c r="B140" s="20" t="n">
        <x:v>20</x:v>
      </x:c>
      <x:c r="C140" s="20" t="str">
        <x:v>Part One</x:v>
      </x:c>
      <x:c r="D140" s="20" t="str">
        <x:v>1.1</x:v>
      </x:c>
      <x:c r="E140" s="20" t="str">
        <x:v>Part One — Individual Simplifications</x:v>
      </x:c>
      <x:c r="F140" s="20" t="str">
        <x:v>2D026
[UNUSED]</x:v>
      </x:c>
      <x:c r="G140" s="20" t="str">
        <x:v>𭀦𭀦</x:v>
      </x:c>
      <x:c r="H140" s="20" t="str">
        <x:v>耀曜</x:v>
      </x:c>
      <x:c r="I140" s="20" t="str">
        <x:v>yào</x:v>
      </x:c>
      <x:c r="J140" s="20" t="str">
        <x:v>8000 [TGH 1]
“bright, dazzling; honor,
acclaim”
66DC [TGH 2]
“sunlight, bright,
illuminate”</x:v>
      </x:c>
      <x:c r="K140" s="20" t="str"/>
      <x:c r="L140" s="20" t="str">
        <x:v>U+2D026</x:v>
      </x:c>
      <x:c r="M140" s="20" t="str">
        <x:v>CJK Unified Ideographs Extension F</x:v>
      </x:c>
      <x:c r="N140" s="20" t="str">
        <x:v>Unicode code point recorded</x:v>
      </x:c>
      <x:c r="O140" s="20" t="str">
        <x:v>Low</x:v>
      </x:c>
      <x:c r="P140" s="20" t="str">
        <x:v>Structured</x:v>
      </x:c>
      <x:c r="Q140" s="20" t="str">
        <x:v>1.1.139 | 2D026 / [UNUSED] | 𭀦𭀦 | 耀曜 | yào | 8000 [TGH 1] / “bright, dazzling; honor, / acclaim” / 66DC [TGH 2] / “sunlight, bright, / illuminate”</x:v>
      </x:c>
      <x:c r="R140" s="20" t="str">
        <x:v>Uploaded: n2924-SecondStageSimplificationStatusv3.pdf</x:v>
      </x:c>
    </x:row>
    <x:row r="141">
      <x:c r="A141" s="20" t="str">
        <x:v>1.1.140</x:v>
      </x:c>
      <x:c r="B141" s="20" t="n">
        <x:v>20</x:v>
      </x:c>
      <x:c r="C141" s="20" t="str">
        <x:v>Part One</x:v>
      </x:c>
      <x:c r="D141" s="20" t="str">
        <x:v>1.1</x:v>
      </x:c>
      <x:c r="E141" s="20" t="str">
        <x:v>Part One — Individual Simplifications</x:v>
      </x:c>
      <x:c r="F141" s="20" t="str">
        <x:v>3043A
(⿱乙心)</x:v>
      </x:c>
      <x:c r="G141" s="20" t="str">
        <x:v>𰐺𰐺</x:v>
      </x:c>
      <x:c r="H141" s="20" t="str">
        <x:v>意</x:v>
      </x:c>
      <x:c r="I141" s="20" t="str">
        <x:v>yì</x:v>
      </x:c>
      <x:c r="J141" s="20" t="str">
        <x:v>610F [TGH 1]
“meaning, idea; wish,
desire, intention;
suggestion, hint, trace;
regard, attention; think,
expect; Italy”</x:v>
      </x:c>
      <x:c r="K141" s="20" t="str"/>
      <x:c r="L141" s="20" t="str">
        <x:v>U+3043A</x:v>
      </x:c>
      <x:c r="M141" s="20" t="str">
        <x:v>CJK Unified Ideographs Extension G</x:v>
      </x:c>
      <x:c r="N141" s="20" t="str">
        <x:v>Encoded now — Extension G</x:v>
      </x:c>
      <x:c r="O141" s="20" t="str">
        <x:v>Low</x:v>
      </x:c>
      <x:c r="P141" s="20" t="str">
        <x:v>Structured</x:v>
      </x:c>
      <x:c r="Q141" s="20" t="str">
        <x:v>1.1.140 | 3043A / (⿱乙心) | 𰐺𰐺 | 意 | yì | 610F [TGH 1] / “meaning, idea; wish, / desire, intention; / suggestion, hint, trace; / regard, attention; think, / expect; Italy”</x:v>
      </x:c>
      <x:c r="R141" s="20" t="str">
        <x:v>Uploaded: n2924-SecondStageSimplificationStatusv3.pdf</x:v>
      </x:c>
    </x:row>
    <x:row r="142">
      <x:c r="A142" s="20" t="str">
        <x:v>1.1.141</x:v>
      </x:c>
      <x:c r="B142" s="20" t="n">
        <x:v>20</x:v>
      </x:c>
      <x:c r="C142" s="20" t="str">
        <x:v>Part One</x:v>
      </x:c>
      <x:c r="D142" s="20" t="str">
        <x:v>1.1</x:v>
      </x:c>
      <x:c r="E142" s="20" t="str">
        <x:v>Part One — Individual Simplifications</x:v>
      </x:c>
      <x:c r="F142" s="20" t="str">
        <x:v>808A [UNUSED
HMT]</x:v>
      </x:c>
      <x:c r="G142" s="20" t="str">
        <x:v>肊</x:v>
      </x:c>
      <x:c r="H142" s="20" t="str">
        <x:v>臆</x:v>
      </x:c>
      <x:c r="I142" s="20" t="str">
        <x:v>yì</x:v>
      </x:c>
      <x:c r="J142" s="20" t="str">
        <x:v>81C6 [TGH 2]
“chest; subjectively”</x:v>
      </x:c>
      <x:c r="K142" s="20" t="str"/>
      <x:c r="L142" s="20" t="str">
        <x:v>U+808A</x:v>
      </x:c>
      <x:c r="M142" s="20" t="str">
        <x:v>CJK Unified Ideographs</x:v>
      </x:c>
      <x:c r="N142" s="20" t="str">
        <x:v>Unicode code point recorded</x:v>
      </x:c>
      <x:c r="O142" s="20" t="str">
        <x:v>Low</x:v>
      </x:c>
      <x:c r="P142" s="20" t="str">
        <x:v>Structured</x:v>
      </x:c>
      <x:c r="Q142" s="20" t="str">
        <x:v>1.1.141 | 808A [UNUSED / HMT] | 肊 | 臆 | yì | 81C6 [TGH 2] / “chest; subjectively”</x:v>
      </x:c>
      <x:c r="R142" s="20" t="str">
        <x:v>Uploaded: n2924-SecondStageSimplificationStatusv3.pdf</x:v>
      </x:c>
    </x:row>
    <x:row r="143">
      <x:c r="A143" s="20" t="str">
        <x:v>1.1.142</x:v>
      </x:c>
      <x:c r="B143" s="20" t="n">
        <x:v>20</x:v>
      </x:c>
      <x:c r="C143" s="20" t="str">
        <x:v>Part One</x:v>
      </x:c>
      <x:c r="D143" s="20" t="str">
        <x:v>1.1</x:v>
      </x:c>
      <x:c r="E143" s="20" t="str">
        <x:v>Part One — Individual Simplifications</x:v>
      </x:c>
      <x:c r="F143" s="20" t="str">
        <x:v>30B5D
(⿱羽一)</x:v>
      </x:c>
      <x:c r="G143" s="20" t="str">
        <x:v>𰭝𰭝</x:v>
      </x:c>
      <x:c r="H143" s="20" t="str">
        <x:v>翼</x:v>
      </x:c>
      <x:c r="I143" s="20" t="str">
        <x:v>yì</x:v>
      </x:c>
      <x:c r="J143" s="20" t="str">
        <x:v>7FFC [TGH 1]
“wing; flank; 〈wr.〉
shelter, protect, assist;
2nd of the 28
constellations”</x:v>
      </x:c>
      <x:c r="K143" s="20" t="str"/>
      <x:c r="L143" s="20" t="str">
        <x:v>U+30B5D</x:v>
      </x:c>
      <x:c r="M143" s="20" t="str">
        <x:v>CJK Unified Ideographs Extension G</x:v>
      </x:c>
      <x:c r="N143" s="20" t="str">
        <x:v>Encoded now — Extension G</x:v>
      </x:c>
      <x:c r="O143" s="20" t="str">
        <x:v>Low</x:v>
      </x:c>
      <x:c r="P143" s="20" t="str">
        <x:v>Structured</x:v>
      </x:c>
      <x:c r="Q143" s="20" t="str">
        <x:v>1.1.142 | 30B5D / (⿱羽一) | 𰭝𰭝 | 翼 | yì | 7FFC [TGH 1] / “wing; flank; 〈wr.〉 / shelter, protect, assist; / 2nd of the 28 / constellations”</x:v>
      </x:c>
      <x:c r="R143" s="20" t="str">
        <x:v>Uploaded: n2924-SecondStageSimplificationStatusv3.pdf</x:v>
      </x:c>
    </x:row>
    <x:row r="144">
      <x:c r="A144" s="20" t="str">
        <x:v>1.1.143</x:v>
      </x:c>
      <x:c r="B144" s="20" t="n">
        <x:v>20</x:v>
      </x:c>
      <x:c r="C144" s="20" t="str">
        <x:v>Part One</x:v>
      </x:c>
      <x:c r="D144" s="20" t="str">
        <x:v>1.1</x:v>
      </x:c>
      <x:c r="E144" s="20" t="str">
        <x:v>Part One — Individual Simplifications</x:v>
      </x:c>
      <x:c r="F144" s="20" t="str">
        <x:v>8FCA [UNUSED
H]</x:v>
      </x:c>
      <x:c r="G144" s="20" t="str">
        <x:v>迊</x:v>
      </x:c>
      <x:c r="H144" s="20" t="str">
        <x:v>迎</x:v>
      </x:c>
      <x:c r="I144" s="20" t="str">
        <x:v>yíng</x:v>
      </x:c>
      <x:c r="J144" s="20" t="str">
        <x:v>8FCE [TGH 1]
“face; welcome, receive,
meet”</x:v>
      </x:c>
      <x:c r="K144" s="20" t="str"/>
      <x:c r="L144" s="20" t="str">
        <x:v>U+8FCA</x:v>
      </x:c>
      <x:c r="M144" s="20" t="str">
        <x:v>CJK Unified Ideographs</x:v>
      </x:c>
      <x:c r="N144" s="20" t="str">
        <x:v>Unicode code point recorded</x:v>
      </x:c>
      <x:c r="O144" s="20" t="str">
        <x:v>Low</x:v>
      </x:c>
      <x:c r="P144" s="20" t="str">
        <x:v>Structured</x:v>
      </x:c>
      <x:c r="Q144" s="20" t="str">
        <x:v>1.1.143 | 8FCA [UNUSED / H] | 迊 | 迎 | yíng | 8FCE [TGH 1] / “face; welcome, receive, / meet”</x:v>
      </x:c>
      <x:c r="R144" s="20" t="str">
        <x:v>Uploaded: n2924-SecondStageSimplificationStatusv3.pdf</x:v>
      </x:c>
    </x:row>
    <x:row r="145">
      <x:c r="A145" s="20" t="str">
        <x:v>1.1.144</x:v>
      </x:c>
      <x:c r="B145" s="20" t="n">
        <x:v>20</x:v>
      </x:c>
      <x:c r="C145" s="20" t="str">
        <x:v>Part One</x:v>
      </x:c>
      <x:c r="D145" s="20" t="str">
        <x:v>1.1</x:v>
      </x:c>
      <x:c r="E145" s="20" t="str">
        <x:v>Part One — Individual Simplifications</x:v>
      </x:c>
      <x:c r="F145" s="20" t="str">
        <x:v>22488
[UNUSED]</x:v>
      </x:c>
      <x:c r="G145" s="20" t="str">
        <x:v>𢒈𢒈</x:v>
      </x:c>
      <x:c r="H145" s="20" t="str">
        <x:v>影</x:v>
      </x:c>
      <x:c r="I145" s="20" t="str">
        <x:v>yǐng</x:v>
      </x:c>
      <x:c r="J145" s="20" t="str">
        <x:v>5F71 [TGH 1]
“shadow, reflection, image;
trace, vague impression;
photograph, picture; film,
movie; copy, trace;
〈topo.〉 hide; conceal”</x:v>
      </x:c>
      <x:c r="K145" s="20" t="str"/>
      <x:c r="L145" s="20" t="str">
        <x:v>U+22488</x:v>
      </x:c>
      <x:c r="M145" s="20" t="str">
        <x:v>CJK Unified Ideographs Extension B</x:v>
      </x:c>
      <x:c r="N145" s="20" t="str">
        <x:v>Unicode code point recorded</x:v>
      </x:c>
      <x:c r="O145" s="20" t="str">
        <x:v>Low</x:v>
      </x:c>
      <x:c r="P145" s="20" t="str">
        <x:v>Structured</x:v>
      </x:c>
      <x:c r="Q145" s="20" t="str">
        <x:v>1.1.144 | 22488 / [UNUSED] | 𢒈𢒈 | 影 | yǐng | 5F71 [TGH 1] / “shadow, reflection, image; / trace, vague impression; / photograph, picture; film, / movie; copy, trace; / 〈topo.〉 hide; conceal”</x:v>
      </x:c>
      <x:c r="R145" s="20" t="str">
        <x:v>Uploaded: n2924-SecondStageSimplificationStatusv3.pdf</x:v>
      </x:c>
    </x:row>
    <x:row r="146">
      <x:c r="A146" s="20" t="str">
        <x:v>1.1.145</x:v>
      </x:c>
      <x:c r="B146" s="20" t="n">
        <x:v>20</x:v>
      </x:c>
      <x:c r="C146" s="20" t="str">
        <x:v>Part One</x:v>
      </x:c>
      <x:c r="D146" s="20" t="str">
        <x:v>1.1</x:v>
      </x:c>
      <x:c r="E146" s="20" t="str">
        <x:v>Part One — Individual Simplifications</x:v>
      </x:c>
      <x:c r="F146" s="20" t="str">
        <x:v>26678
[UNUSED]</x:v>
      </x:c>
      <x:c r="G146" s="20" t="str">
        <x:v>𦙸𦙸</x:v>
      </x:c>
      <x:c r="H146" s="20" t="str">
        <x:v>臃</x:v>
      </x:c>
      <x:c r="I146" s="20" t="str">
        <x:v>yōng</x:v>
      </x:c>
      <x:c r="J146" s="20" t="str">
        <x:v>81C3 [TGH 2]
“swollen”</x:v>
      </x:c>
      <x:c r="K146" s="20" t="str"/>
      <x:c r="L146" s="20" t="str">
        <x:v>U+26678</x:v>
      </x:c>
      <x:c r="M146" s="20" t="str">
        <x:v>CJK Unified Ideographs Extension B</x:v>
      </x:c>
      <x:c r="N146" s="20" t="str">
        <x:v>Unicode code point recorded</x:v>
      </x:c>
      <x:c r="O146" s="20" t="str">
        <x:v>Low</x:v>
      </x:c>
      <x:c r="P146" s="20" t="str">
        <x:v>Structured</x:v>
      </x:c>
      <x:c r="Q146" s="20" t="str">
        <x:v>1.1.145 | 26678 / [UNUSED] | 𦙸𦙸 | 臃 | yōng | 81C3 [TGH 2] / “swollen”</x:v>
      </x:c>
      <x:c r="R146" s="20" t="str">
        <x:v>Uploaded: n2924-SecondStageSimplificationStatusv3.pdf</x:v>
      </x:c>
    </x:row>
    <x:row r="147">
      <x:c r="A147" s="20" t="str">
        <x:v>1.1.146</x:v>
      </x:c>
      <x:c r="B147" s="20" t="n">
        <x:v>20</x:v>
      </x:c>
      <x:c r="C147" s="20" t="str">
        <x:v>Part One</x:v>
      </x:c>
      <x:c r="D147" s="20" t="str">
        <x:v>1.1</x:v>
      </x:c>
      <x:c r="E147" s="20" t="str">
        <x:v>Part One — Individual Simplifications</x:v>
      </x:c>
      <x:c r="F147" s="20" t="str">
        <x:v>6C8B [UNUSED
HMT]</x:v>
      </x:c>
      <x:c r="G147" s="20" t="str">
        <x:v>沋</x:v>
      </x:c>
      <x:c r="H147" s="20" t="str">
        <x:v>游</x:v>
      </x:c>
      <x:c r="I147" s="20" t="str">
        <x:v>yóu</x:v>
      </x:c>
      <x:c r="J147" s="20" t="str">
        <x:v>6E38 [TGH 1]
“swim, float; travel; rove;
associate with; reaches of
a river”</x:v>
      </x:c>
      <x:c r="K147" s="20" t="str"/>
      <x:c r="L147" s="20" t="str">
        <x:v>U+6C8B</x:v>
      </x:c>
      <x:c r="M147" s="20" t="str">
        <x:v>CJK Unified Ideographs</x:v>
      </x:c>
      <x:c r="N147" s="20" t="str">
        <x:v>Unicode code point recorded</x:v>
      </x:c>
      <x:c r="O147" s="20" t="str">
        <x:v>Low</x:v>
      </x:c>
      <x:c r="P147" s="20" t="str">
        <x:v>Structured</x:v>
      </x:c>
      <x:c r="Q147" s="20" t="str">
        <x:v>1.1.146 | 6C8B [UNUSED / HMT] | 沋 | 游 | yóu | 6E38 [TGH 1] / “swim, float; travel; rove; / associate with; reaches of / a river”</x:v>
      </x:c>
      <x:c r="R147" s="20" t="str">
        <x:v>Uploaded: n2924-SecondStageSimplificationStatusv3.pdf</x:v>
      </x:c>
    </x:row>
    <x:row r="148">
      <x:c r="A148" s="20" t="str">
        <x:v>1.1.147</x:v>
      </x:c>
      <x:c r="B148" s="20" t="n">
        <x:v>21</x:v>
      </x:c>
      <x:c r="C148" s="20" t="str">
        <x:v>Part One</x:v>
      </x:c>
      <x:c r="D148" s="20" t="str">
        <x:v>1.1</x:v>
      </x:c>
      <x:c r="E148" s="20" t="str">
        <x:v>Part One — Individual Simplifications</x:v>
      </x:c>
      <x:c r="F148" s="20" t="str">
        <x:v>225B3
[UNUSED]</x:v>
      </x:c>
      <x:c r="G148" s="20" t="str">
        <x:v>𢖳𢖳</x:v>
      </x:c>
      <x:c r="H148" s="20" t="str">
        <x:v>愉</x:v>
      </x:c>
      <x:c r="I148" s="20" t="str">
        <x:v>yú</x:v>
      </x:c>
      <x:c r="J148" s="20" t="str">
        <x:v>6109 [TGH 1]
“happy, pleased, joyful”</x:v>
      </x:c>
      <x:c r="K148" s="20" t="str"/>
      <x:c r="L148" s="20" t="str">
        <x:v>U+225B3</x:v>
      </x:c>
      <x:c r="M148" s="20" t="str">
        <x:v>CJK Unified Ideographs Extension B</x:v>
      </x:c>
      <x:c r="N148" s="20" t="str">
        <x:v>Unicode code point recorded</x:v>
      </x:c>
      <x:c r="O148" s="20" t="str">
        <x:v>Low</x:v>
      </x:c>
      <x:c r="P148" s="20" t="str">
        <x:v>Structured</x:v>
      </x:c>
      <x:c r="Q148" s="20" t="str">
        <x:v>1.1.147 | 225B3 / [UNUSED] | 𢖳𢖳 | 愉 | yú | 6109 [TGH 1] / “happy, pleased, joyful”</x:v>
      </x:c>
      <x:c r="R148" s="20" t="str">
        <x:v>Uploaded: n2924-SecondStageSimplificationStatusv3.pdf</x:v>
      </x:c>
    </x:row>
    <x:row r="149">
      <x:c r="A149" s="20" t="str">
        <x:v>1.1.148</x:v>
      </x:c>
      <x:c r="B149" s="20" t="n">
        <x:v>21</x:v>
      </x:c>
      <x:c r="C149" s="20" t="str">
        <x:v>Part One</x:v>
      </x:c>
      <x:c r="D149" s="20" t="str">
        <x:v>1.1</x:v>
      </x:c>
      <x:c r="E149" s="20" t="str">
        <x:v>Part One — Individual Simplifications</x:v>
      </x:c>
      <x:c r="F149" s="20" t="str">
        <x:v>8FC2 [TGH 1]
yū
“abstruse,
impractical;
doctrinaire,
pedantic;
circuitous,
winding; beside
the point,
aberrant”</x:v>
      </x:c>
      <x:c r="G149" s="20" t="str">
        <x:v>迂</x:v>
      </x:c>
      <x:c r="H149" s="20" t="str">
        <x:v>遇</x:v>
      </x:c>
      <x:c r="I149" s="20" t="str">
        <x:v>yù</x:v>
      </x:c>
      <x:c r="J149" s="20" t="str">
        <x:v>9047 [TGH 1]
“meet, encounter; treat,
receive; treatment,
remuneration; situation;
chance, opportunity”</x:v>
      </x:c>
      <x:c r="K149" s="20" t="str"/>
      <x:c r="L149" s="20" t="str">
        <x:v>U+8FC2</x:v>
      </x:c>
      <x:c r="M149" s="20" t="str">
        <x:v>CJK Unified Ideographs</x:v>
      </x:c>
      <x:c r="N149" s="20" t="str">
        <x:v>Unicode code point recorded</x:v>
      </x:c>
      <x:c r="O149" s="20" t="str">
        <x:v>Low</x:v>
      </x:c>
      <x:c r="P149" s="20" t="str">
        <x:v>Structured</x:v>
      </x:c>
      <x:c r="Q149" s="20" t="str">
        <x:v>1.1.148 | 8FC2 [TGH 1] / yū / “abstruse, / impractical; / doctrinaire, / pedantic; / circuitous, / winding; beside / the point, / aberrant” | 迂 | 遇 | yù | 9047 [TGH 1] / “meet, encounter; treat, / receive; treatment, / remuneration; situation; / chance, opportunity”</x:v>
      </x:c>
      <x:c r="R149" s="20" t="str">
        <x:v>Uploaded: n2924-SecondStageSimplificationStatusv3.pdf</x:v>
      </x:c>
    </x:row>
    <x:row r="150">
      <x:c r="A150" s="20" t="str">
        <x:v>1.1.149</x:v>
      </x:c>
      <x:c r="B150" s="20" t="n">
        <x:v>21</x:v>
      </x:c>
      <x:c r="C150" s="20" t="str">
        <x:v>Part One</x:v>
      </x:c>
      <x:c r="D150" s="20" t="str">
        <x:v>1.1</x:v>
      </x:c>
      <x:c r="E150" s="20" t="str">
        <x:v>Part One — Individual Simplifications</x:v>
      </x:c>
      <x:c r="F150" s="20" t="str">
        <x:v>4E88 [TGH 1]
yú
“〈wr.〉 I; me”
yǔ
“give”</x:v>
      </x:c>
      <x:c r="G150" s="20" t="str">
        <x:v>予</x:v>
      </x:c>
      <x:c r="H150" s="20" t="str">
        <x:v>预豫</x:v>
      </x:c>
      <x:c r="I150" s="20" t="str">
        <x:v>yù</x:v>
      </x:c>
      <x:c r="J150" s="20" t="str">
        <x:v>9884 [TGH 1]
“in advance; participate”
8C6B [TGH 1]
“short name for Hénán”</x:v>
      </x:c>
      <x:c r="K150" s="20" t="str"/>
      <x:c r="L150" s="20" t="str">
        <x:v>U+4E88</x:v>
      </x:c>
      <x:c r="M150" s="20" t="str">
        <x:v>CJK Unified Ideographs</x:v>
      </x:c>
      <x:c r="N150" s="20" t="str">
        <x:v>Unicode code point recorded</x:v>
      </x:c>
      <x:c r="O150" s="20" t="str">
        <x:v>Low</x:v>
      </x:c>
      <x:c r="P150" s="20" t="str">
        <x:v>Structured</x:v>
      </x:c>
      <x:c r="Q150" s="20" t="str">
        <x:v>1.1.149 | 4E88 [TGH 1] / yú / “〈wr.〉 I; me” / yǔ / “give” | 予 | 预豫 | yù | 9884 [TGH 1] / “in advance; participate” / 8C6B [TGH 1] / “short name for Hénán”</x:v>
      </x:c>
      <x:c r="R150" s="20" t="str">
        <x:v>Uploaded: n2924-SecondStageSimplificationStatusv3.pdf</x:v>
      </x:c>
    </x:row>
    <x:row r="151">
      <x:c r="A151" s="20" t="str">
        <x:v>1.1.150</x:v>
      </x:c>
      <x:c r="B151" s="20" t="n">
        <x:v>21</x:v>
      </x:c>
      <x:c r="C151" s="20" t="str">
        <x:v>Part One</x:v>
      </x:c>
      <x:c r="D151" s="20" t="str">
        <x:v>1.1</x:v>
      </x:c>
      <x:c r="E151" s="20" t="str">
        <x:v>Part One — Individual Simplifications</x:v>
      </x:c>
      <x:c r="F151" s="20" t="str">
        <x:v>5143 [TGH 1]
“first, primary;
basic,
fundamental;
chief, principal;
old, eminent;
vital, state;
vitality;
〈phil.〉; Yuan
dynasty; yuan;
dollar”</x:v>
      </x:c>
      <x:c r="G151" s="20" t="str">
        <x:v>元</x:v>
      </x:c>
      <x:c r="H151" s="20" t="str">
        <x:v>圆</x:v>
      </x:c>
      <x:c r="I151" s="20" t="str">
        <x:v>yuán</x:v>
      </x:c>
      <x:c r="J151" s="20" t="str">
        <x:v>5706 [TGH 1]
“round; satisfactory,
comprehensive; make
plausible, justify; circle”</x:v>
      </x:c>
      <x:c r="K151" s="20" t="str"/>
      <x:c r="L151" s="20" t="str">
        <x:v>U+5143</x:v>
      </x:c>
      <x:c r="M151" s="20" t="str">
        <x:v>CJK Unified Ideographs</x:v>
      </x:c>
      <x:c r="N151" s="20" t="str">
        <x:v>Unicode code point recorded</x:v>
      </x:c>
      <x:c r="O151" s="20" t="str">
        <x:v>Low</x:v>
      </x:c>
      <x:c r="P151" s="20" t="str">
        <x:v>Structured</x:v>
      </x:c>
      <x:c r="Q151" s="20" t="str">
        <x:v>1.1.150 | 5143 [TGH 1] / “first, primary; / basic, / fundamental; / chief, principal; / old, eminent; / vital, state; / vitality; / 〈phil.〉; Yuan / dynasty; yuan; / dollar” | 元 | 圆 | yuán | 5706 [TGH 1] / “round; satisfactory, / comprehensive; make / plausible, justify; circle”</x:v>
      </x:c>
      <x:c r="R151" s="20" t="str">
        <x:v>Uploaded: n2924-SecondStageSimplificationStatusv3.pdf</x:v>
      </x:c>
    </x:row>
    <x:row r="152">
      <x:c r="A152" s="20" t="str">
        <x:v>1.1.151</x:v>
      </x:c>
      <x:c r="B152" s="20" t="n">
        <x:v>21</x:v>
      </x:c>
      <x:c r="C152" s="20" t="str">
        <x:v>Part One</x:v>
      </x:c>
      <x:c r="D152" s="20" t="str">
        <x:v>1.1</x:v>
      </x:c>
      <x:c r="E152" s="20" t="str">
        <x:v>Part One — Individual Simplifications</x:v>
      </x:c>
      <x:c r="F152" s="20" t="str">
        <x:v>30196
(⿸厂元)</x:v>
      </x:c>
      <x:c r="G152" s="20" t="str">
        <x:v>𰆖𰆖</x:v>
      </x:c>
      <x:c r="H152" s="20" t="str">
        <x:v>原</x:v>
      </x:c>
      <x:c r="I152" s="20" t="str">
        <x:v>yuán</x:v>
      </x:c>
      <x:c r="J152" s="20" t="str">
        <x:v>539F [TGH 1]
“primary, original;
unprocessed, raw; simple;
pardon, forgive; plain,
plateau; origin, source;
element, atom; graveyard”</x:v>
      </x:c>
      <x:c r="K152" s="20" t="str"/>
      <x:c r="L152" s="20" t="str">
        <x:v>U+30196</x:v>
      </x:c>
      <x:c r="M152" s="20" t="str">
        <x:v>CJK Unified Ideographs Extension G</x:v>
      </x:c>
      <x:c r="N152" s="20" t="str">
        <x:v>Encoded now — Extension G</x:v>
      </x:c>
      <x:c r="O152" s="20" t="str">
        <x:v>Low</x:v>
      </x:c>
      <x:c r="P152" s="20" t="str">
        <x:v>Structured</x:v>
      </x:c>
      <x:c r="Q152" s="20" t="str">
        <x:v>1.1.151 | 30196 / (⿸厂元) | 𰆖𰆖 | 原 | yuán | 539F [TGH 1] / “primary, original; / unprocessed, raw; simple; / pardon, forgive; plain, / plateau; origin, source; / element, atom; graveyard”</x:v>
      </x:c>
      <x:c r="R152" s="20" t="str">
        <x:v>Uploaded: n2924-SecondStageSimplificationStatusv3.pdf</x:v>
      </x:c>
    </x:row>
    <x:row r="153">
      <x:c r="A153" s="20" t="str">
        <x:v>1.1.152</x:v>
      </x:c>
      <x:c r="B153" s="20" t="n">
        <x:v>21</x:v>
      </x:c>
      <x:c r="C153" s="20" t="str">
        <x:v>Part One</x:v>
      </x:c>
      <x:c r="D153" s="20" t="str">
        <x:v>1.1</x:v>
      </x:c>
      <x:c r="E153" s="20" t="str">
        <x:v>Part One — Individual Simplifications</x:v>
      </x:c>
      <x:c r="F153" s="20" t="str">
        <x:v>6C85 [TGH 2]
Name of a river</x:v>
      </x:c>
      <x:c r="G153" s="20" t="str">
        <x:v>沅</x:v>
      </x:c>
      <x:c r="H153" s="20" t="str">
        <x:v>源</x:v>
      </x:c>
      <x:c r="I153" s="20" t="str">
        <x:v>yuán</x:v>
      </x:c>
      <x:c r="J153" s="20" t="str">
        <x:v>6E90 [TGH 1]
“source (of a river),
fountainhead; source,
cause, origin”</x:v>
      </x:c>
      <x:c r="K153" s="20" t="str"/>
      <x:c r="L153" s="20" t="str">
        <x:v>U+6C85</x:v>
      </x:c>
      <x:c r="M153" s="20" t="str">
        <x:v>CJK Unified Ideographs</x:v>
      </x:c>
      <x:c r="N153" s="20" t="str">
        <x:v>Unicode code point recorded</x:v>
      </x:c>
      <x:c r="O153" s="20" t="str">
        <x:v>Low</x:v>
      </x:c>
      <x:c r="P153" s="20" t="str">
        <x:v>Structured</x:v>
      </x:c>
      <x:c r="Q153" s="20" t="str">
        <x:v>1.1.152 | 6C85 [TGH 2] / Name of a river | 沅 | 源 | yuán | 6E90 [TGH 1] / “source (of a river), / fountainhead; source, / cause, origin”</x:v>
      </x:c>
      <x:c r="R153" s="20" t="str">
        <x:v>Uploaded: n2924-SecondStageSimplificationStatusv3.pdf</x:v>
      </x:c>
    </x:row>
    <x:row r="154">
      <x:c r="A154" s="20" t="str">
        <x:v>1.1.153</x:v>
      </x:c>
      <x:c r="B154" s="20" t="n">
        <x:v>21</x:v>
      </x:c>
      <x:c r="C154" s="20" t="str">
        <x:v>Part One</x:v>
      </x:c>
      <x:c r="D154" s="20" t="str">
        <x:v>1.1</x:v>
      </x:c>
      <x:c r="E154" s="20" t="str">
        <x:v>Part One — Individual Simplifications</x:v>
      </x:c>
      <x:c r="F154" s="20" t="str">
        <x:v>30AFE
(⿰纟元)</x:v>
      </x:c>
      <x:c r="G154" s="20" t="str">
        <x:v>𰫾𰫾</x:v>
      </x:c>
      <x:c r="H154" s="20" t="str">
        <x:v>缘</x:v>
      </x:c>
      <x:c r="I154" s="20" t="str">
        <x:v>yuán</x:v>
      </x:c>
      <x:c r="J154" s="20" t="str">
        <x:v>7F18 [TGH 1]
“reason, cause; fate,
predestination; edge,
fringe, hem; 〈Budd.〉
contribution to a temple;
karmic affinity; (go)
along; climb up”</x:v>
      </x:c>
      <x:c r="K154" s="20" t="str"/>
      <x:c r="L154" s="20" t="str">
        <x:v>U+30AFE</x:v>
      </x:c>
      <x:c r="M154" s="20" t="str">
        <x:v>CJK Unified Ideographs Extension G</x:v>
      </x:c>
      <x:c r="N154" s="20" t="str">
        <x:v>Encoded now — Extension G</x:v>
      </x:c>
      <x:c r="O154" s="20" t="str">
        <x:v>Low</x:v>
      </x:c>
      <x:c r="P154" s="20" t="str">
        <x:v>Structured</x:v>
      </x:c>
      <x:c r="Q154" s="20" t="str">
        <x:v>1.1.153 | 30AFE / (⿰纟元) | 𰫾𰫾 | 缘 | yuán | 7F18 [TGH 1] / “reason, cause; fate, / predestination; edge, / fringe, hem; 〈Budd.〉 / contribution to a temple; / karmic affinity; (go) / along; climb up”</x:v>
      </x:c>
      <x:c r="R154" s="20" t="str">
        <x:v>Uploaded: n2924-SecondStageSimplificationStatusv3.pdf</x:v>
      </x:c>
    </x:row>
    <x:row r="155">
      <x:c r="A155" s="20" t="str">
        <x:v>1.1.154</x:v>
      </x:c>
      <x:c r="B155" s="20" t="n">
        <x:v>22</x:v>
      </x:c>
      <x:c r="C155" s="20" t="str">
        <x:v>Part One</x:v>
      </x:c>
      <x:c r="D155" s="20" t="str">
        <x:v>1.1</x:v>
      </x:c>
      <x:c r="E155" s="20" t="str">
        <x:v>Part One — Individual Simplifications</x:v>
      </x:c>
      <x:c r="F155" s="20" t="str">
        <x:v>30DE3
(⿱㚘贝)</x:v>
      </x:c>
      <x:c r="G155" s="20" t="str">
        <x:v>𰷣𰷣</x:v>
      </x:c>
      <x:c r="H155" s="20" t="str">
        <x:v>赞</x:v>
      </x:c>
      <x:c r="I155" s="20" t="str">
        <x:v>zàn</x:v>
      </x:c>
      <x:c r="J155" s="20" t="str">
        <x:v>8D5E [TGH 1]
“support, assist; agree
with; praise, commend;
eulogy”</x:v>
      </x:c>
      <x:c r="K155" s="20" t="str"/>
      <x:c r="L155" s="20" t="str">
        <x:v>U+30DE3</x:v>
      </x:c>
      <x:c r="M155" s="20" t="str">
        <x:v>CJK Unified Ideographs Extension G</x:v>
      </x:c>
      <x:c r="N155" s="20" t="str">
        <x:v>Encoded now — Extension G</x:v>
      </x:c>
      <x:c r="O155" s="20" t="str">
        <x:v>Low</x:v>
      </x:c>
      <x:c r="P155" s="20" t="str">
        <x:v>Structured</x:v>
      </x:c>
      <x:c r="Q155" s="20" t="str">
        <x:v>1.1.154 | 30DE3 / (⿱㚘贝) | 𰷣𰷣 | 赞 | zàn | 8D5E [TGH 1] / “support, assist; agree / with; praise, commend; / eulogy”</x:v>
      </x:c>
      <x:c r="R155" s="20" t="str">
        <x:v>Uploaded: n2924-SecondStageSimplificationStatusv3.pdf</x:v>
      </x:c>
    </x:row>
    <x:row r="156">
      <x:c r="A156" s="20" t="str">
        <x:v>1.1.155</x:v>
      </x:c>
      <x:c r="B156" s="20" t="n">
        <x:v>22</x:v>
      </x:c>
      <x:c r="C156" s="20" t="str">
        <x:v>Part One</x:v>
      </x:c>
      <x:c r="D156" s="20" t="str">
        <x:v>1.1</x:v>
      </x:c>
      <x:c r="E156" s="20" t="str">
        <x:v>Part One — Individual Simplifications</x:v>
      </x:c>
      <x:c r="F156" s="20" t="str">
        <x:v>3033B
(⿱宀在)</x:v>
      </x:c>
      <x:c r="G156" s="20" t="str">
        <x:v>𰌻𰌻</x:v>
      </x:c>
      <x:c r="H156" s="20" t="str">
        <x:v>寨</x:v>
      </x:c>
      <x:c r="I156" s="20" t="str">
        <x:v>zhài</x:v>
      </x:c>
      <x:c r="J156" s="20" t="str">
        <x:v>5BE8 [TGH 1]
“stockade, camp; village”</x:v>
      </x:c>
      <x:c r="K156" s="20" t="str"/>
      <x:c r="L156" s="20" t="str">
        <x:v>U+3033B</x:v>
      </x:c>
      <x:c r="M156" s="20" t="str">
        <x:v>CJK Unified Ideographs Extension G</x:v>
      </x:c>
      <x:c r="N156" s="20" t="str">
        <x:v>Encoded now — Extension G</x:v>
      </x:c>
      <x:c r="O156" s="20" t="str">
        <x:v>Low</x:v>
      </x:c>
      <x:c r="P156" s="20" t="str">
        <x:v>Structured</x:v>
      </x:c>
      <x:c r="Q156" s="20" t="str">
        <x:v>1.1.155 | 3033B / (⿱宀在) | 𰌻𰌻 | 寨 | zhài | 5BE8 [TGH 1] / “stockade, camp; village”</x:v>
      </x:c>
      <x:c r="R156" s="20" t="str">
        <x:v>Uploaded: n2924-SecondStageSimplificationStatusv3.pdf</x:v>
      </x:c>
    </x:row>
    <x:row r="157">
      <x:c r="A157" s="20" t="str">
        <x:v>1.1.156</x:v>
      </x:c>
      <x:c r="B157" s="20" t="n">
        <x:v>22</x:v>
      </x:c>
      <x:c r="C157" s="20" t="str">
        <x:v>Part One</x:v>
      </x:c>
      <x:c r="D157" s="20" t="str">
        <x:v>1.1</x:v>
      </x:c>
      <x:c r="E157" s="20" t="str">
        <x:v>Part One — Individual Simplifications</x:v>
      </x:c>
      <x:c r="F157" s="20" t="str">
        <x:v>5E10 [TGH 1]
“curtain, canopy;
tent”</x:v>
      </x:c>
      <x:c r="G157" s="20" t="str">
        <x:v>帐</x:v>
      </x:c>
      <x:c r="H157" s="20" t="str">
        <x:v>账</x:v>
      </x:c>
      <x:c r="I157" s="20" t="str">
        <x:v>zhàng</x:v>
      </x:c>
      <x:c r="J157" s="20" t="str">
        <x:v>8D26 [TGH 1]
“accounts, account book;
debt, credit, credit
account”</x:v>
      </x:c>
      <x:c r="K157" s="20" t="str"/>
      <x:c r="L157" s="20" t="str">
        <x:v>U+5E10</x:v>
      </x:c>
      <x:c r="M157" s="20" t="str">
        <x:v>CJK Unified Ideographs</x:v>
      </x:c>
      <x:c r="N157" s="20" t="str">
        <x:v>Unicode code point recorded</x:v>
      </x:c>
      <x:c r="O157" s="20" t="str">
        <x:v>Low</x:v>
      </x:c>
      <x:c r="P157" s="20" t="str">
        <x:v>Structured</x:v>
      </x:c>
      <x:c r="Q157" s="20" t="str">
        <x:v>1.1.156 | 5E10 [TGH 1] / “curtain, canopy; / tent” | 帐 | 账 | zhàng | 8D26 [TGH 1] / “accounts, account book; / debt, credit, credit / account”</x:v>
      </x:c>
      <x:c r="R157" s="20" t="str">
        <x:v>Uploaded: n2924-SecondStageSimplificationStatusv3.pdf</x:v>
      </x:c>
    </x:row>
    <x:row r="158">
      <x:c r="A158" s="20" t="str">
        <x:v>1.1.157</x:v>
      </x:c>
      <x:c r="B158" s="20" t="n">
        <x:v>22</x:v>
      </x:c>
      <x:c r="C158" s="20" t="str">
        <x:v>Part One</x:v>
      </x:c>
      <x:c r="D158" s="20" t="str">
        <x:v>1.1</x:v>
      </x:c>
      <x:c r="E158" s="20" t="str">
        <x:v>Part One — Individual Simplifications</x:v>
      </x:c>
      <x:c r="F158" s="20" t="str">
        <x:v>30E79
(⿰车切)</x:v>
      </x:c>
      <x:c r="G158" s="20" t="str">
        <x:v>𰹹𰹹</x:v>
      </x:c>
      <x:c r="H158" s="20" t="str">
        <x:v>辙</x:v>
      </x:c>
      <x:c r="I158" s="20" t="str">
        <x:v>zhé</x:v>
      </x:c>
      <x:c r="J158" s="20" t="str">
        <x:v>8F99 [TGH 1]
“ruts, wheel tracks; route;
rhyme (of a song/etc.);
〈topo.〉 way; method”</x:v>
      </x:c>
      <x:c r="K158" s="20" t="str"/>
      <x:c r="L158" s="20" t="str">
        <x:v>U+30E79</x:v>
      </x:c>
      <x:c r="M158" s="20" t="str">
        <x:v>CJK Unified Ideographs Extension G</x:v>
      </x:c>
      <x:c r="N158" s="20" t="str">
        <x:v>Encoded now — Extension G</x:v>
      </x:c>
      <x:c r="O158" s="20" t="str">
        <x:v>Low</x:v>
      </x:c>
      <x:c r="P158" s="20" t="str">
        <x:v>Structured</x:v>
      </x:c>
      <x:c r="Q158" s="20" t="str">
        <x:v>1.1.157 | 30E79 / (⿰车切) | 𰹹𰹹 | 辙 | zhé | 8F99 [TGH 1] / “ruts, wheel tracks; route; / rhyme (of a song/etc.); / 〈topo.〉 way; method”</x:v>
      </x:c>
      <x:c r="R158" s="20" t="str">
        <x:v>Uploaded: n2924-SecondStageSimplificationStatusv3.pdf</x:v>
      </x:c>
    </x:row>
    <x:row r="159">
      <x:c r="A159" s="20" t="str">
        <x:v>1.1.158</x:v>
      </x:c>
      <x:c r="B159" s="20" t="n">
        <x:v>22</x:v>
      </x:c>
      <x:c r="C159" s="20" t="str">
        <x:v>Part One</x:v>
      </x:c>
      <x:c r="D159" s="20" t="str">
        <x:v>1.1</x:v>
      </x:c>
      <x:c r="E159" s="20" t="str">
        <x:v>Part One — Individual Simplifications</x:v>
      </x:c>
      <x:c r="F159" s="20" t="str">
        <x:v>302DE
(⿱大正)</x:v>
      </x:c>
      <x:c r="G159" s="20" t="str">
        <x:v>𰋞𰋞</x:v>
      </x:c>
      <x:c r="H159" s="20" t="str">
        <x:v>整</x:v>
      </x:c>
      <x:c r="I159" s="20" t="str">
        <x:v>zhěng</x:v>
      </x:c>
      <x:c r="J159" s="20" t="str">
        <x:v>6574 [TGH 1]
“entire, whole, full; neat,
tidy; put in order,
arrange, consolidate;
repair, mend; make sb.
Suffer, punish; 〈topo.〉
do”</x:v>
      </x:c>
      <x:c r="K159" s="20" t="str"/>
      <x:c r="L159" s="20" t="str">
        <x:v>U+302DE</x:v>
      </x:c>
      <x:c r="M159" s="20" t="str">
        <x:v>CJK Unified Ideographs Extension G</x:v>
      </x:c>
      <x:c r="N159" s="20" t="str">
        <x:v>Encoded now — Extension G</x:v>
      </x:c>
      <x:c r="O159" s="20" t="str">
        <x:v>Low</x:v>
      </x:c>
      <x:c r="P159" s="20" t="str">
        <x:v>Structured</x:v>
      </x:c>
      <x:c r="Q159" s="20" t="str">
        <x:v>1.1.158 | 302DE / (⿱大正) | 𰋞𰋞 | 整 | zhěng | 6574 [TGH 1] / “entire, whole, full; neat, / tidy; put in order, / arrange, consolidate; / repair, mend; make sb. / Suffer, punish; 〈topo.〉 / do”</x:v>
      </x:c>
      <x:c r="R159" s="20" t="str">
        <x:v>Uploaded: n2924-SecondStageSimplificationStatusv3.pdf</x:v>
      </x:c>
    </x:row>
    <x:row r="160">
      <x:c r="A160" s="20" t="str">
        <x:v>1.1.159</x:v>
      </x:c>
      <x:c r="B160" s="20" t="n">
        <x:v>22</x:v>
      </x:c>
      <x:c r="C160" s="20" t="str">
        <x:v>Part One</x:v>
      </x:c>
      <x:c r="D160" s="20" t="str">
        <x:v>1.1</x:v>
      </x:c>
      <x:c r="E160" s="20" t="str">
        <x:v>Part One — Individual Simplifications</x:v>
      </x:c>
      <x:c r="F160" s="20" t="str">
        <x:v>5B50 [TGH 1]
“son, child,
offspring; etc.”</x:v>
      </x:c>
      <x:c r="G160" s="20" t="str">
        <x:v>子</x:v>
      </x:c>
      <x:c r="H160" s="20" t="str">
        <x:v>籽</x:v>
      </x:c>
      <x:c r="I160" s="20" t="str">
        <x:v>zǐ</x:v>
      </x:c>
      <x:c r="J160" s="20" t="str">
        <x:v>7C7D [TGH 1]
“seed (of certain plants)”</x:v>
      </x:c>
      <x:c r="K160" s="20" t="str"/>
      <x:c r="L160" s="20" t="str">
        <x:v>U+5B50</x:v>
      </x:c>
      <x:c r="M160" s="20" t="str">
        <x:v>CJK Unified Ideographs</x:v>
      </x:c>
      <x:c r="N160" s="20" t="str">
        <x:v>Unicode code point recorded</x:v>
      </x:c>
      <x:c r="O160" s="20" t="str">
        <x:v>Low</x:v>
      </x:c>
      <x:c r="P160" s="20" t="str">
        <x:v>Structured</x:v>
      </x:c>
      <x:c r="Q160" s="20" t="str">
        <x:v>1.1.159 | 5B50 [TGH 1] / “son, child, / offspring; etc.” | 子 | 籽 | zǐ | 7C7D [TGH 1] / “seed (of certain plants)”</x:v>
      </x:c>
      <x:c r="R160" s="20" t="str">
        <x:v>Uploaded: n2924-SecondStageSimplificationStatusv3.pdf</x:v>
      </x:c>
    </x:row>
    <x:row r="161">
      <x:c r="A161" s="20" t="str">
        <x:v>1.1.160</x:v>
      </x:c>
      <x:c r="B161" s="20" t="n">
        <x:v>22</x:v>
      </x:c>
      <x:c r="C161" s="20" t="str">
        <x:v>Part One</x:v>
      </x:c>
      <x:c r="D161" s="20" t="str">
        <x:v>1.1</x:v>
      </x:c>
      <x:c r="E161" s="20" t="str">
        <x:v>Part One — Individual Simplifications</x:v>
      </x:c>
      <x:c r="F161" s="20" t="str">
        <x:v>5480 [TGH 2]
jǔ
“chew”
zuǐ
used in place
names</x:v>
      </x:c>
      <x:c r="G161" s="20" t="str">
        <x:v>咀</x:v>
      </x:c>
      <x:c r="H161" s="20" t="str">
        <x:v>嘴</x:v>
      </x:c>
      <x:c r="I161" s="20" t="str">
        <x:v>zuǐ</x:v>
      </x:c>
      <x:c r="J161" s="20" t="str">
        <x:v>5634 [TGH 1]
“mouth, snout, bill; talk,
speak”</x:v>
      </x:c>
      <x:c r="K161" s="20" t="str"/>
      <x:c r="L161" s="20" t="str">
        <x:v>U+5480</x:v>
      </x:c>
      <x:c r="M161" s="20" t="str">
        <x:v>CJK Unified Ideographs</x:v>
      </x:c>
      <x:c r="N161" s="20" t="str">
        <x:v>Unicode code point recorded</x:v>
      </x:c>
      <x:c r="O161" s="20" t="str">
        <x:v>Low</x:v>
      </x:c>
      <x:c r="P161" s="20" t="str">
        <x:v>Structured</x:v>
      </x:c>
      <x:c r="Q161" s="20" t="str">
        <x:v>1.1.160 | 5480 [TGH 2] / jǔ / “chew” / zuǐ / used in place / names | 咀 | 嘴 | zuǐ | 5634 [TGH 1] / “mouth, snout, bill; talk, / speak”</x:v>
      </x:c>
      <x:c r="R161" s="20" t="str">
        <x:v>Uploaded: n2924-SecondStageSimplificationStatusv3.pdf</x:v>
      </x:c>
    </x:row>
    <x:row r="162">
      <x:c r="A162" s="20" t="str">
        <x:v>1.1.161</x:v>
      </x:c>
      <x:c r="B162" s="20" t="n">
        <x:v>22</x:v>
      </x:c>
      <x:c r="C162" s="20" t="str">
        <x:v>Part One</x:v>
      </x:c>
      <x:c r="D162" s="20" t="str">
        <x:v>1.1</x:v>
      </x:c>
      <x:c r="E162" s="20" t="str">
        <x:v>Part One — Individual Simplifications</x:v>
      </x:c>
      <x:c r="F162" s="20" t="str">
        <x:v>5750 [TGH 1]
“sit, take a
seat; etc.”</x:v>
      </x:c>
      <x:c r="G162" s="20" t="str">
        <x:v>坐</x:v>
      </x:c>
      <x:c r="H162" s="20" t="str">
        <x:v>座</x:v>
      </x:c>
      <x:c r="I162" s="20" t="str">
        <x:v>zuò</x:v>
      </x:c>
      <x:c r="J162" s="20" t="str">
        <x:v>5EA7 [TGH 1]
“seat, place; stand,
pedestal, base; fare (in a
hired vehicle); customer
(in a restaurant); counter
(for
mountains/bridges/etc.);
constellation”</x:v>
      </x:c>
      <x:c r="K162" s="20" t="str"/>
      <x:c r="L162" s="20" t="str">
        <x:v>U+5750</x:v>
      </x:c>
      <x:c r="M162" s="20" t="str">
        <x:v>CJK Unified Ideographs</x:v>
      </x:c>
      <x:c r="N162" s="20" t="str">
        <x:v>Unicode code point recorded</x:v>
      </x:c>
      <x:c r="O162" s="20" t="str">
        <x:v>Low</x:v>
      </x:c>
      <x:c r="P162" s="20" t="str">
        <x:v>Structured</x:v>
      </x:c>
      <x:c r="Q162" s="20" t="str">
        <x:v>1.1.161 | 5750 [TGH 1] / “sit, take a / seat; etc.” | 坐 | 座 | zuò | 5EA7 [TGH 1] / “seat, place; stand, / pedestal, base; fare (in a / hired vehicle); customer / (in a restaurant); counter / (for / mountains/bridges/etc.); / constellation”</x:v>
      </x:c>
      <x:c r="R162" s="20" t="str">
        <x:v>Uploaded: n2924-SecondStageSimplificationStatusv3.pdf</x:v>
      </x:c>
    </x:row>
    <x:row r="163">
      <x:c r="A163" s="20" t="str">
        <x:v>1.2.001</x:v>
      </x:c>
      <x:c r="B163" s="20" t="n">
        <x:v>23</x:v>
      </x:c>
      <x:c r="C163" s="20" t="str">
        <x:v>Part One</x:v>
      </x:c>
      <x:c r="D163" s="20" t="str">
        <x:v>1.2</x:v>
      </x:c>
      <x:c r="E163" s="20" t="str">
        <x:v>Part One — Generic Simplifications / Derived Forms</x:v>
      </x:c>
      <x:c r="F163" s="20" t="str">
        <x:v>22342
[UNUSED]</x:v>
      </x:c>
      <x:c r="G163" s="20" t="str">
        <x:v>𢍂𢍂</x:v>
      </x:c>
      <x:c r="H163" s="20" t="str">
        <x:v>鼻</x:v>
      </x:c>
      <x:c r="I163" s="20" t="str">
        <x:v>bí</x:v>
      </x:c>
      <x:c r="J163" s="20" t="str">
        <x:v>9F3B [TGH 1]
“nose”</x:v>
      </x:c>
      <x:c r="K163" s="20" t="str"/>
      <x:c r="L163" s="20" t="str">
        <x:v>U+22342</x:v>
      </x:c>
      <x:c r="M163" s="20" t="str">
        <x:v>CJK Unified Ideographs Extension B</x:v>
      </x:c>
      <x:c r="N163" s="20" t="str">
        <x:v>Unicode code point recorded</x:v>
      </x:c>
      <x:c r="O163" s="20" t="str">
        <x:v>Low</x:v>
      </x:c>
      <x:c r="P163" s="20" t="str">
        <x:v>Structured</x:v>
      </x:c>
      <x:c r="Q163" s="20" t="str">
        <x:v>1.2.001 | 22342 / [UNUSED] | 𢍂𢍂 | 鼻 | bí | 9F3B [TGH 1] / “nose” | </x:v>
      </x:c>
      <x:c r="R163" s="20" t="str">
        <x:v>Uploaded: n2924-SecondStageSimplificationStatusv3.pdf</x:v>
      </x:c>
    </x:row>
    <x:row r="164">
      <x:c r="A164" s="20" t="str">
        <x:v>1.2.001-01</x:v>
      </x:c>
      <x:c r="B164" s="20" t="n">
        <x:v>23</x:v>
      </x:c>
      <x:c r="C164" s="20" t="str">
        <x:v>Part One</x:v>
      </x:c>
      <x:c r="D164" s="20" t="str">
        <x:v>1.2</x:v>
      </x:c>
      <x:c r="E164" s="20" t="str">
        <x:v>Part One — Generic Simplifications / Derived Forms</x:v>
      </x:c>
      <x:c r="F164" s="20" t="str">
        <x:v>30BF6
(⿰𢍂𢍂干)</x:v>
      </x:c>
      <x:c r="G164" s="20" t="str">
        <x:v>𰯶𰯶</x:v>
      </x:c>
      <x:c r="H164" s="20" t="str">
        <x:v>鼾</x:v>
      </x:c>
      <x:c r="I164" s="20" t="str">
        <x:v>hān</x:v>
      </x:c>
      <x:c r="J164" s="20" t="str">
        <x:v>9F3E [TGH 2]
“snore”</x:v>
      </x:c>
      <x:c r="K164" s="20" t="str"/>
      <x:c r="L164" s="20" t="str">
        <x:v>U+30BF6</x:v>
      </x:c>
      <x:c r="M164" s="20" t="str">
        <x:v>CJK Unified Ideographs Extension G</x:v>
      </x:c>
      <x:c r="N164" s="20" t="str">
        <x:v>Encoded now — Extension G</x:v>
      </x:c>
      <x:c r="O164" s="20" t="str">
        <x:v>Low</x:v>
      </x:c>
      <x:c r="P164" s="20" t="str">
        <x:v>Structured</x:v>
      </x:c>
      <x:c r="Q164" s="20" t="str">
        <x:v>1.2.001-01 | 30BF6 / (⿰𢍂𢍂干) | 𰯶𰯶 | 鼾 | hān | 9F3E [TGH 2] / “snore” | </x:v>
      </x:c>
      <x:c r="R164" s="20" t="str">
        <x:v>Uploaded: n2924-SecondStageSimplificationStatusv3.pdf</x:v>
      </x:c>
    </x:row>
    <x:row r="165">
      <x:c r="A165" s="20" t="str">
        <x:v>1.2.002</x:v>
      </x:c>
      <x:c r="B165" s="20" t="n">
        <x:v>23</x:v>
      </x:c>
      <x:c r="C165" s="20" t="str">
        <x:v>Part One</x:v>
      </x:c>
      <x:c r="D165" s="20" t="str">
        <x:v>1.2</x:v>
      </x:c>
      <x:c r="E165" s="20" t="str">
        <x:v>Part One — Generic Simplifications / Derived Forms</x:v>
      </x:c>
      <x:c r="F165" s="20" t="str">
        <x:v>30335
(⿱宀叉)</x:v>
      </x:c>
      <x:c r="G165" s="20" t="str">
        <x:v>𰌵𰌵</x:v>
      </x:c>
      <x:c r="H165" s="20" t="str">
        <x:v>察嚓</x:v>
      </x:c>
      <x:c r="I165" s="20" t="str"/>
      <x:c r="J165" s="20" t="str">
        <x:v>5BDF [TGH 1]
5693 [TGH 2]</x:v>
      </x:c>
      <x:c r="K165" s="20" t="str"/>
      <x:c r="L165" s="20" t="str">
        <x:v>U+30335</x:v>
      </x:c>
      <x:c r="M165" s="20" t="str">
        <x:v>CJK Unified Ideographs Extension G</x:v>
      </x:c>
      <x:c r="N165" s="20" t="str">
        <x:v>Encoded now — Extension G</x:v>
      </x:c>
      <x:c r="O165" s="20" t="str">
        <x:v>Low</x:v>
      </x:c>
      <x:c r="P165" s="20" t="str">
        <x:v>Structured</x:v>
      </x:c>
      <x:c r="Q165" s="20" t="str">
        <x:v>1.2.002 | 30335 / (⿱宀叉) | 𰌵𰌵 | 察嚓 |  | 5BDF [TGH 1] / 5693 [TGH 2] | </x:v>
      </x:c>
      <x:c r="R165" s="20" t="str">
        <x:v>Uploaded: n2924-SecondStageSimplificationStatusv3.pdf</x:v>
      </x:c>
    </x:row>
    <x:row r="166">
      <x:c r="A166" s="20" t="str">
        <x:v>1.2.003</x:v>
      </x:c>
      <x:c r="B166" s="20" t="n">
        <x:v>24</x:v>
      </x:c>
      <x:c r="C166" s="20" t="str">
        <x:v>Part One</x:v>
      </x:c>
      <x:c r="D166" s="20" t="str">
        <x:v>1.2</x:v>
      </x:c>
      <x:c r="E166" s="20" t="str">
        <x:v>Part One — Generic Simplifications / Derived Forms</x:v>
      </x:c>
      <x:c r="F166" s="20" t="str">
        <x:v>2BE6F
[UNUSED]</x:v>
      </x:c>
      <x:c r="G166" s="20" t="str">
        <x:v>𫹯𫹯</x:v>
      </x:c>
      <x:c r="H166" s="20" t="str">
        <x:v>感</x:v>
      </x:c>
      <x:c r="I166" s="20" t="str"/>
      <x:c r="J166" s="20" t="str">
        <x:v>611F [TGH 1]</x:v>
      </x:c>
      <x:c r="K166" s="20" t="str"/>
      <x:c r="L166" s="20" t="str">
        <x:v>U+2BE6F</x:v>
      </x:c>
      <x:c r="M166" s="20" t="str">
        <x:v>CJK Unified Ideographs Extension E</x:v>
      </x:c>
      <x:c r="N166" s="20" t="str">
        <x:v>Unicode code point recorded</x:v>
      </x:c>
      <x:c r="O166" s="20" t="str">
        <x:v>Low</x:v>
      </x:c>
      <x:c r="P166" s="20" t="str">
        <x:v>Structured</x:v>
      </x:c>
      <x:c r="Q166" s="20" t="str">
        <x:v>1.2.003 | 2BE6F / [UNUSED] | 𫹯𫹯 | 感 |  | 611F [TGH 1] | </x:v>
      </x:c>
      <x:c r="R166" s="20" t="str">
        <x:v>Uploaded: n2924-SecondStageSimplificationStatusv3.pdf</x:v>
      </x:c>
    </x:row>
    <x:row r="167">
      <x:c r="A167" s="20" t="str">
        <x:v>1.2.003-01</x:v>
      </x:c>
      <x:c r="B167" s="20" t="n">
        <x:v>24</x:v>
      </x:c>
      <x:c r="C167" s="20" t="str">
        <x:v>Part One</x:v>
      </x:c>
      <x:c r="D167" s="20" t="str">
        <x:v>1.2</x:v>
      </x:c>
      <x:c r="E167" s="20" t="str">
        <x:v>Part One — Generic Simplifications / Derived Forms</x:v>
      </x:c>
      <x:c r="F167" s="20" t="str">
        <x:v>304ED
(⿰扌𫹯𫹯)</x:v>
      </x:c>
      <x:c r="G167" s="20" t="str">
        <x:v>𰓭𰓭</x:v>
      </x:c>
      <x:c r="H167" s="20" t="str">
        <x:v>撼</x:v>
      </x:c>
      <x:c r="I167" s="20" t="str"/>
      <x:c r="J167" s="20" t="str">
        <x:v>64BC [TGH 1]</x:v>
      </x:c>
      <x:c r="K167" s="20" t="str"/>
      <x:c r="L167" s="20" t="str">
        <x:v>U+304ED</x:v>
      </x:c>
      <x:c r="M167" s="20" t="str">
        <x:v>CJK Unified Ideographs Extension G</x:v>
      </x:c>
      <x:c r="N167" s="20" t="str">
        <x:v>Encoded now — Extension G</x:v>
      </x:c>
      <x:c r="O167" s="20" t="str">
        <x:v>Low</x:v>
      </x:c>
      <x:c r="P167" s="20" t="str">
        <x:v>Structured</x:v>
      </x:c>
      <x:c r="Q167" s="20" t="str">
        <x:v>1.2.003-01 | 304ED / (⿰扌𫹯𫹯) | 𰓭𰓭 | 撼 |  | 64BC [TGH 1] | </x:v>
      </x:c>
      <x:c r="R167" s="20" t="str">
        <x:v>Uploaded: n2924-SecondStageSimplificationStatusv3.pdf</x:v>
      </x:c>
    </x:row>
    <x:row r="168">
      <x:c r="A168" s="20" t="str">
        <x:v>1.2.003-02</x:v>
      </x:c>
      <x:c r="B168" s="20" t="n">
        <x:v>24</x:v>
      </x:c>
      <x:c r="C168" s="20" t="str">
        <x:v>Part One</x:v>
      </x:c>
      <x:c r="D168" s="20" t="str">
        <x:v>1.2</x:v>
      </x:c>
      <x:c r="E168" s="20" t="str">
        <x:v>Part One — Generic Simplifications / Derived Forms</x:v>
      </x:c>
      <x:c r="F168" s="20" t="str">
        <x:v>3045E
(⿰忄𫹯𫹯)</x:v>
      </x:c>
      <x:c r="G168" s="20" t="str">
        <x:v>𰑞𰑞</x:v>
      </x:c>
      <x:c r="H168" s="20" t="str">
        <x:v>憾</x:v>
      </x:c>
      <x:c r="I168" s="20" t="str"/>
      <x:c r="J168" s="20" t="str">
        <x:v>61BE [TGH 1]</x:v>
      </x:c>
      <x:c r="K168" s="20" t="str"/>
      <x:c r="L168" s="20" t="str">
        <x:v>U+3045E</x:v>
      </x:c>
      <x:c r="M168" s="20" t="str">
        <x:v>CJK Unified Ideographs Extension G</x:v>
      </x:c>
      <x:c r="N168" s="20" t="str">
        <x:v>Encoded now — Extension G</x:v>
      </x:c>
      <x:c r="O168" s="20" t="str">
        <x:v>Low</x:v>
      </x:c>
      <x:c r="P168" s="20" t="str">
        <x:v>Structured</x:v>
      </x:c>
      <x:c r="Q168" s="20" t="str">
        <x:v>1.2.003-02 | 3045E / (⿰忄𫹯𫹯) | 𰑞𰑞 | 憾 |  | 61BE [TGH 1] | </x:v>
      </x:c>
      <x:c r="R168" s="20" t="str">
        <x:v>Uploaded: n2924-SecondStageSimplificationStatusv3.pdf</x:v>
      </x:c>
    </x:row>
    <x:row r="169">
      <x:c r="A169" s="20" t="str">
        <x:v>1.2.004</x:v>
      </x:c>
      <x:c r="B169" s="20" t="n">
        <x:v>24</x:v>
      </x:c>
      <x:c r="C169" s="20" t="str">
        <x:v>Part One</x:v>
      </x:c>
      <x:c r="D169" s="20" t="str">
        <x:v>1.2</x:v>
      </x:c>
      <x:c r="E169" s="20" t="str">
        <x:v>Part One — Generic Simplifications / Derived Forms</x:v>
      </x:c>
      <x:c r="F169" s="20" t="str">
        <x:v>4E20
[UNUSED]</x:v>
      </x:c>
      <x:c r="G169" s="20" t="str">
        <x:v>丠</x:v>
      </x:c>
      <x:c r="H169" s="20" t="str">
        <x:v>冀</x:v>
      </x:c>
      <x:c r="I169" s="20" t="str"/>
      <x:c r="J169" s="20" t="str">
        <x:v>5180 [TGH 1]</x:v>
      </x:c>
      <x:c r="K169" s="20" t="str"/>
      <x:c r="L169" s="20" t="str">
        <x:v>U+4E20</x:v>
      </x:c>
      <x:c r="M169" s="20" t="str">
        <x:v>CJK Unified Ideographs</x:v>
      </x:c>
      <x:c r="N169" s="20" t="str">
        <x:v>Unicode code point recorded</x:v>
      </x:c>
      <x:c r="O169" s="20" t="str">
        <x:v>Low</x:v>
      </x:c>
      <x:c r="P169" s="20" t="str">
        <x:v>Structured</x:v>
      </x:c>
      <x:c r="Q169" s="20" t="str">
        <x:v>1.2.004 | 4E20 / [UNUSED] | 丠 | 冀 |  | 5180 [TGH 1] | </x:v>
      </x:c>
      <x:c r="R169" s="20" t="str">
        <x:v>Uploaded: n2924-SecondStageSimplificationStatusv3.pdf</x:v>
      </x:c>
    </x:row>
    <x:row r="170">
      <x:c r="A170" s="20" t="str">
        <x:v>1.2.004-01</x:v>
      </x:c>
      <x:c r="B170" s="20" t="n">
        <x:v>24</x:v>
      </x:c>
      <x:c r="C170" s="20" t="str">
        <x:v>Part One</x:v>
      </x:c>
      <x:c r="D170" s="20" t="str">
        <x:v>1.2</x:v>
      </x:c>
      <x:c r="E170" s="20" t="str">
        <x:v>Part One — Generic Simplifications / Derived Forms</x:v>
      </x:c>
      <x:c r="F170" s="20" t="str">
        <x:v>3114C
(⿰马丠)</x:v>
      </x:c>
      <x:c r="G170" s="20" t="str">
        <x:v>𱅌𱅌</x:v>
      </x:c>
      <x:c r="H170" s="20" t="str">
        <x:v>骥</x:v>
      </x:c>
      <x:c r="I170" s="20" t="str"/>
      <x:c r="J170" s="20" t="str">
        <x:v>9AA5 [TGH 2]</x:v>
      </x:c>
      <x:c r="K170" s="20" t="str"/>
      <x:c r="L170" s="20" t="str">
        <x:v>U+3114C</x:v>
      </x:c>
      <x:c r="M170" s="20" t="str">
        <x:v>CJK Unified Ideographs Extension G</x:v>
      </x:c>
      <x:c r="N170" s="20" t="str">
        <x:v>Encoded now — Extension G</x:v>
      </x:c>
      <x:c r="O170" s="20" t="str">
        <x:v>Low</x:v>
      </x:c>
      <x:c r="P170" s="20" t="str">
        <x:v>Structured</x:v>
      </x:c>
      <x:c r="Q170" s="20" t="str">
        <x:v>1.2.004-01 | 3114C / (⿰马丠) | 𱅌𱅌 | 骥 |  | 9AA5 [TGH 2] | </x:v>
      </x:c>
      <x:c r="R170" s="20" t="str">
        <x:v>Uploaded: n2924-SecondStageSimplificationStatusv3.pdf</x:v>
      </x:c>
    </x:row>
    <x:row r="171">
      <x:c r="A171" s="20" t="str">
        <x:v>1.2.005</x:v>
      </x:c>
      <x:c r="B171" s="20" t="n">
        <x:v>24</x:v>
      </x:c>
      <x:c r="C171" s="20" t="str">
        <x:v>Part One</x:v>
      </x:c>
      <x:c r="D171" s="20" t="str">
        <x:v>1.2</x:v>
      </x:c>
      <x:c r="E171" s="20" t="str">
        <x:v>Part One — Generic Simplifications / Derived Forms</x:v>
      </x:c>
      <x:c r="F171" s="20" t="str">
        <x:v>302D9
(⿵𠀃𠀃人)</x:v>
      </x:c>
      <x:c r="G171" s="20" t="str">
        <x:v>𰋙𰋙</x:v>
      </x:c>
      <x:c r="H171" s="20" t="str">
        <x:v>具</x:v>
      </x:c>
      <x:c r="I171" s="20" t="str"/>
      <x:c r="J171" s="20" t="str">
        <x:v>5177 [TGH 1]</x:v>
      </x:c>
      <x:c r="K171" s="20" t="str"/>
      <x:c r="L171" s="20" t="str">
        <x:v>U+302D9</x:v>
      </x:c>
      <x:c r="M171" s="20" t="str">
        <x:v>CJK Unified Ideographs Extension G</x:v>
      </x:c>
      <x:c r="N171" s="20" t="str">
        <x:v>Encoded now — Extension G</x:v>
      </x:c>
      <x:c r="O171" s="20" t="str">
        <x:v>Low</x:v>
      </x:c>
      <x:c r="P171" s="20" t="str">
        <x:v>Structured</x:v>
      </x:c>
      <x:c r="Q171" s="20" t="str">
        <x:v>1.2.005 | 302D9 / (⿵𠀃𠀃人) | 𰋙𰋙 | 具 |  | 5177 [TGH 1] | </x:v>
      </x:c>
      <x:c r="R171" s="20" t="str">
        <x:v>Uploaded: n2924-SecondStageSimplificationStatusv3.pdf</x:v>
      </x:c>
    </x:row>
    <x:row r="172">
      <x:c r="A172" s="20" t="str">
        <x:v>1.2.005-01</x:v>
      </x:c>
      <x:c r="B172" s="20" t="n">
        <x:v>24</x:v>
      </x:c>
      <x:c r="C172" s="20" t="str">
        <x:v>Part One</x:v>
      </x:c>
      <x:c r="D172" s="20" t="str">
        <x:v>1.2</x:v>
      </x:c>
      <x:c r="E172" s="20" t="str">
        <x:v>Part One — Generic Simplifications / Derived Forms</x:v>
      </x:c>
      <x:c r="F172" s="20" t="str">
        <x:v>3006C
(⿰亻𰋙𰋙)</x:v>
      </x:c>
      <x:c r="G172" s="20" t="str">
        <x:v>𰁬𰁬</x:v>
      </x:c>
      <x:c r="H172" s="20" t="str">
        <x:v>俱</x:v>
      </x:c>
      <x:c r="I172" s="20" t="str"/>
      <x:c r="J172" s="20" t="str">
        <x:v>4FF1 [TGH 1]</x:v>
      </x:c>
      <x:c r="K172" s="20" t="str"/>
      <x:c r="L172" s="20" t="str">
        <x:v>U+3006C</x:v>
      </x:c>
      <x:c r="M172" s="20" t="str">
        <x:v>CJK Unified Ideographs Extension G</x:v>
      </x:c>
      <x:c r="N172" s="20" t="str">
        <x:v>Encoded now — Extension G</x:v>
      </x:c>
      <x:c r="O172" s="20" t="str">
        <x:v>Low</x:v>
      </x:c>
      <x:c r="P172" s="20" t="str">
        <x:v>Structured</x:v>
      </x:c>
      <x:c r="Q172" s="20" t="str">
        <x:v>1.2.005-01 | 3006C / (⿰亻𰋙𰋙) | 𰁬𰁬 | 俱 |  | 4FF1 [TGH 1] | </x:v>
      </x:c>
      <x:c r="R172" s="20" t="str">
        <x:v>Uploaded: n2924-SecondStageSimplificationStatusv3.pdf</x:v>
      </x:c>
    </x:row>
    <x:row r="173">
      <x:c r="A173" s="20" t="str">
        <x:v>1.2.005-02</x:v>
      </x:c>
      <x:c r="B173" s="20" t="n">
        <x:v>24</x:v>
      </x:c>
      <x:c r="C173" s="20" t="str">
        <x:v>Part One</x:v>
      </x:c>
      <x:c r="D173" s="20" t="str">
        <x:v>1.2</x:v>
      </x:c>
      <x:c r="E173" s="20" t="str">
        <x:v>Part One — Generic Simplifications / Derived Forms</x:v>
      </x:c>
      <x:c r="F173" s="20" t="str">
        <x:v>3044C
(⿰忄𰋙𰋙)</x:v>
      </x:c>
      <x:c r="G173" s="20" t="str">
        <x:v>𰑌𰑌</x:v>
      </x:c>
      <x:c r="H173" s="20" t="str">
        <x:v>惧</x:v>
      </x:c>
      <x:c r="I173" s="20" t="str"/>
      <x:c r="J173" s="20" t="str">
        <x:v>60E7 [TGH 1]</x:v>
      </x:c>
      <x:c r="K173" s="20" t="str"/>
      <x:c r="L173" s="20" t="str">
        <x:v>U+3044C</x:v>
      </x:c>
      <x:c r="M173" s="20" t="str">
        <x:v>CJK Unified Ideographs Extension G</x:v>
      </x:c>
      <x:c r="N173" s="20" t="str">
        <x:v>Encoded now — Extension G</x:v>
      </x:c>
      <x:c r="O173" s="20" t="str">
        <x:v>Low</x:v>
      </x:c>
      <x:c r="P173" s="20" t="str">
        <x:v>Structured</x:v>
      </x:c>
      <x:c r="Q173" s="20" t="str">
        <x:v>1.2.005-02 | 3044C / (⿰忄𰋙𰋙) | 𰑌𰑌 | 惧 |  | 60E7 [TGH 1] | </x:v>
      </x:c>
      <x:c r="R173" s="20" t="str">
        <x:v>Uploaded: n2924-SecondStageSimplificationStatusv3.pdf</x:v>
      </x:c>
    </x:row>
    <x:row r="174">
      <x:c r="A174" s="20" t="str">
        <x:v>1.2.005-03</x:v>
      </x:c>
      <x:c r="B174" s="20" t="n">
        <x:v>24</x:v>
      </x:c>
      <x:c r="C174" s="20" t="str">
        <x:v>Part One</x:v>
      </x:c>
      <x:c r="D174" s="20" t="str">
        <x:v>1.2</x:v>
      </x:c>
      <x:c r="E174" s="20" t="str">
        <x:v>Part One — Generic Simplifications / Derived Forms</x:v>
      </x:c>
      <x:c r="F174" s="20" t="str">
        <x:v>30831
(⿰牜𰋙𰋙)</x:v>
      </x:c>
      <x:c r="G174" s="20" t="str">
        <x:v>𰠱𰠱</x:v>
      </x:c>
      <x:c r="H174" s="20" t="str">
        <x:v>犋</x:v>
      </x:c>
      <x:c r="I174" s="20" t="str"/>
      <x:c r="J174" s="20" t="str">
        <x:v>728B [TGH 2]</x:v>
      </x:c>
      <x:c r="K174" s="20" t="str"/>
      <x:c r="L174" s="20" t="str">
        <x:v>U+30831</x:v>
      </x:c>
      <x:c r="M174" s="20" t="str">
        <x:v>CJK Unified Ideographs Extension G</x:v>
      </x:c>
      <x:c r="N174" s="20" t="str">
        <x:v>Encoded now — Extension G</x:v>
      </x:c>
      <x:c r="O174" s="20" t="str">
        <x:v>Low</x:v>
      </x:c>
      <x:c r="P174" s="20" t="str">
        <x:v>Structured</x:v>
      </x:c>
      <x:c r="Q174" s="20" t="str">
        <x:v>1.2.005-03 | 30831 / (⿰牜𰋙𰋙) | 𰠱𰠱 | 犋 |  | 728B [TGH 2] | </x:v>
      </x:c>
      <x:c r="R174" s="20" t="str">
        <x:v>Uploaded: n2924-SecondStageSimplificationStatusv3.pdf</x:v>
      </x:c>
    </x:row>
    <x:row r="175">
      <x:c r="A175" s="20" t="str">
        <x:v>1.2.006</x:v>
      </x:c>
      <x:c r="B175" s="20" t="n">
        <x:v>24</x:v>
      </x:c>
      <x:c r="C175" s="20" t="str">
        <x:v>Part One</x:v>
      </x:c>
      <x:c r="D175" s="20" t="str">
        <x:v>1.2</x:v>
      </x:c>
      <x:c r="E175" s="20" t="str">
        <x:v>Part One — Generic Simplifications / Derived Forms</x:v>
      </x:c>
      <x:c r="F175" s="20" t="str">
        <x:v>754413
[UNUSED J]</x:v>
      </x:c>
      <x:c r="G175" s="20" t="str">
        <x:v>畄</x:v>
      </x:c>
      <x:c r="H175" s="20" t="str">
        <x:v>留</x:v>
      </x:c>
      <x:c r="I175" s="20" t="str"/>
      <x:c r="J175" s="20" t="str">
        <x:v>7559 [TGH 1]</x:v>
      </x:c>
      <x:c r="K175" s="20" t="str"/>
      <x:c r="L175" s="20" t="str"/>
      <x:c r="M175" s="20" t="str"/>
      <x:c r="N175" s="20" t="str">
        <x:v>No parseable code point — manual review</x:v>
      </x:c>
      <x:c r="O175" s="20" t="str">
        <x:v>Medium</x:v>
      </x:c>
      <x:c r="P175" s="20" t="str">
        <x:v>Structured</x:v>
      </x:c>
      <x:c r="Q175" s="20" t="str">
        <x:v>1.2.006 | 754413 / [UNUSED J] | 畄 | 留 |  | 7559 [TGH 1] | </x:v>
      </x:c>
      <x:c r="R175" s="20" t="str">
        <x:v>Uploaded: n2924-SecondStageSimplificationStatusv3.pdf</x:v>
      </x:c>
    </x:row>
    <x:row r="176">
      <x:c r="A176" s="20" t="str">
        <x:v>1.2.006-01</x:v>
      </x:c>
      <x:c r="B176" s="20" t="n">
        <x:v>24</x:v>
      </x:c>
      <x:c r="C176" s="20" t="str">
        <x:v>Part One</x:v>
      </x:c>
      <x:c r="D176" s="20" t="str">
        <x:v>1.2</x:v>
      </x:c>
      <x:c r="E176" s="20" t="str">
        <x:v>Part One — Generic Simplifications / Derived Forms</x:v>
      </x:c>
      <x:c r="F176" s="20" t="str">
        <x:v>305F6
(⿰木畄)</x:v>
      </x:c>
      <x:c r="G176" s="20" t="str">
        <x:v>𰗶𰗶</x:v>
      </x:c>
      <x:c r="H176" s="20" t="str">
        <x:v>榴</x:v>
      </x:c>
      <x:c r="I176" s="20" t="str"/>
      <x:c r="J176" s="20" t="str">
        <x:v>69B4 [TGH 1]</x:v>
      </x:c>
      <x:c r="K176" s="20" t="str"/>
      <x:c r="L176" s="20" t="str">
        <x:v>U+305F6</x:v>
      </x:c>
      <x:c r="M176" s="20" t="str">
        <x:v>CJK Unified Ideographs Extension G</x:v>
      </x:c>
      <x:c r="N176" s="20" t="str">
        <x:v>Encoded now — Extension G</x:v>
      </x:c>
      <x:c r="O176" s="20" t="str">
        <x:v>Low</x:v>
      </x:c>
      <x:c r="P176" s="20" t="str">
        <x:v>Structured</x:v>
      </x:c>
      <x:c r="Q176" s="20" t="str">
        <x:v>1.2.006-01 | 305F6 / (⿰木畄) | 𰗶𰗶 | 榴 |  | 69B4 [TGH 1] | </x:v>
      </x:c>
      <x:c r="R176" s="20" t="str">
        <x:v>Uploaded: n2924-SecondStageSimplificationStatusv3.pdf</x:v>
      </x:c>
    </x:row>
    <x:row r="177">
      <x:c r="A177" s="20" t="str">
        <x:v>1.2.006-02</x:v>
      </x:c>
      <x:c r="B177" s="20" t="n">
        <x:v>25</x:v>
      </x:c>
      <x:c r="C177" s="20" t="str">
        <x:v>Part One</x:v>
      </x:c>
      <x:c r="D177" s="20" t="str">
        <x:v>1.2</x:v>
      </x:c>
      <x:c r="E177" s="20" t="str">
        <x:v>Part One — Generic Simplifications / Derived Forms</x:v>
      </x:c>
      <x:c r="F177" s="20" t="str">
        <x:v>308F2
(⿸疒畄)</x:v>
      </x:c>
      <x:c r="G177" s="20" t="str">
        <x:v>𰣲𰣲</x:v>
      </x:c>
      <x:c r="H177" s="20" t="str">
        <x:v>瘤</x:v>
      </x:c>
      <x:c r="I177" s="20" t="str"/>
      <x:c r="J177" s="20" t="str">
        <x:v>7624 [TGH 1]</x:v>
      </x:c>
      <x:c r="K177" s="20" t="str"/>
      <x:c r="L177" s="20" t="str">
        <x:v>U+308F2</x:v>
      </x:c>
      <x:c r="M177" s="20" t="str">
        <x:v>CJK Unified Ideographs Extension G</x:v>
      </x:c>
      <x:c r="N177" s="20" t="str">
        <x:v>Encoded now — Extension G</x:v>
      </x:c>
      <x:c r="O177" s="20" t="str">
        <x:v>Low</x:v>
      </x:c>
      <x:c r="P177" s="20" t="str">
        <x:v>Structured</x:v>
      </x:c>
      <x:c r="Q177" s="20" t="str">
        <x:v>1.2.006-02 | 308F2 / (⿸疒畄) | 𰣲𰣲 | 瘤 |  | 7624 [TGH 1] | </x:v>
      </x:c>
      <x:c r="R177" s="20" t="str">
        <x:v>Uploaded: n2924-SecondStageSimplificationStatusv3.pdf</x:v>
      </x:c>
    </x:row>
    <x:row r="178">
      <x:c r="A178" s="20" t="str">
        <x:v>1.2.007</x:v>
      </x:c>
      <x:c r="B178" s="20" t="n">
        <x:v>25</x:v>
      </x:c>
      <x:c r="C178" s="20" t="str">
        <x:v>Part One</x:v>
      </x:c>
      <x:c r="D178" s="20" t="str">
        <x:v>1.2</x:v>
      </x:c>
      <x:c r="E178" s="20" t="str">
        <x:v>Part One — Generic Simplifications / Derived Forms</x:v>
      </x:c>
      <x:c r="F178" s="20" t="str">
        <x:v>200DC
[UNUSED]</x:v>
      </x:c>
      <x:c r="G178" s="20" t="str">
        <x:v>眉</x:v>
      </x:c>
      <x:c r="H178" s="20" t="str">
        <x:v>眉嵋</x:v>
      </x:c>
      <x:c r="I178" s="20" t="str"/>
      <x:c r="J178" s="20" t="str">
        <x:v>7709 [TGH 1]
5D4B [TGH 2]</x:v>
      </x:c>
      <x:c r="K178" s="20" t="str"/>
      <x:c r="L178" s="20" t="str">
        <x:v>U+200DC</x:v>
      </x:c>
      <x:c r="M178" s="20" t="str">
        <x:v>CJK Unified Ideographs Extension B</x:v>
      </x:c>
      <x:c r="N178" s="20" t="str">
        <x:v>Unicode code point recorded</x:v>
      </x:c>
      <x:c r="O178" s="20" t="str">
        <x:v>Low</x:v>
      </x:c>
      <x:c r="P178" s="20" t="str">
        <x:v>Structured</x:v>
      </x:c>
      <x:c r="Q178" s="20" t="str">
        <x:v>1.2.007 | 200DC / [UNUSED] | 眉 | 眉嵋 |  | 7709 [TGH 1] / 5D4B [TGH 2] | </x:v>
      </x:c>
      <x:c r="R178" s="20" t="str">
        <x:v>Uploaded: n2924-SecondStageSimplificationStatusv3.pdf</x:v>
      </x:c>
    </x:row>
    <x:row r="179">
      <x:c r="A179" s="20" t="str">
        <x:v>1.2.007-01</x:v>
      </x:c>
      <x:c r="B179" s="20" t="n">
        <x:v>25</x:v>
      </x:c>
      <x:c r="C179" s="20" t="str">
        <x:v>Part One</x:v>
      </x:c>
      <x:c r="D179" s="20" t="str">
        <x:v>1.2</x:v>
      </x:c>
      <x:c r="E179" s="20" t="str">
        <x:v>Part One — Generic Simplifications / Derived Forms</x:v>
      </x:c>
      <x:c r="F179" s="20" t="str">
        <x:v>302FB
(⿰女𠃜𠃜)</x:v>
      </x:c>
      <x:c r="G179" s="20" t="str">
        <x:v>𰋻𰋻</x:v>
      </x:c>
      <x:c r="H179" s="20" t="str">
        <x:v>媚</x:v>
      </x:c>
      <x:c r="I179" s="20" t="str"/>
      <x:c r="J179" s="20" t="str">
        <x:v>5A9A [TGH 1]</x:v>
      </x:c>
      <x:c r="K179" s="20" t="str"/>
      <x:c r="L179" s="20" t="str">
        <x:v>U+302FB</x:v>
      </x:c>
      <x:c r="M179" s="20" t="str">
        <x:v>CJK Unified Ideographs Extension G</x:v>
      </x:c>
      <x:c r="N179" s="20" t="str">
        <x:v>Encoded now — Extension G</x:v>
      </x:c>
      <x:c r="O179" s="20" t="str">
        <x:v>Low</x:v>
      </x:c>
      <x:c r="P179" s="20" t="str">
        <x:v>Structured</x:v>
      </x:c>
      <x:c r="Q179" s="20" t="str">
        <x:v>1.2.007-01 | 302FB / (⿰女𠃜𠃜) | 𰋻𰋻 | 媚 |  | 5A9A [TGH 1] | </x:v>
      </x:c>
      <x:c r="R179" s="20" t="str">
        <x:v>Uploaded: n2924-SecondStageSimplificationStatusv3.pdf</x:v>
      </x:c>
    </x:row>
    <x:row r="180">
      <x:c r="A180" s="20" t="str">
        <x:v>1.2.008</x:v>
      </x:c>
      <x:c r="B180" s="20" t="n">
        <x:v>26</x:v>
      </x:c>
      <x:c r="C180" s="20" t="str">
        <x:v>Part One</x:v>
      </x:c>
      <x:c r="D180" s="20" t="str">
        <x:v>1.2</x:v>
      </x:c>
      <x:c r="E180" s="20" t="str">
        <x:v>Part One — Generic Simplifications / Derived Forms</x:v>
      </x:c>
      <x:c r="F180" s="20" t="str">
        <x:v>30C21
(⿱𫇦𫇦一)</x:v>
      </x:c>
      <x:c r="G180" s="20" t="str">
        <x:v>𰰡𰰡</x:v>
      </x:c>
      <x:c r="H180" s="20" t="str">
        <x:v>蒙</x:v>
      </x:c>
      <x:c r="I180" s="20" t="str"/>
      <x:c r="J180" s="20" t="str">
        <x:v>8499 [TGH 1]</x:v>
      </x:c>
      <x:c r="K180" s="20" t="str"/>
      <x:c r="L180" s="20" t="str">
        <x:v>U+30C21</x:v>
      </x:c>
      <x:c r="M180" s="20" t="str">
        <x:v>CJK Unified Ideographs Extension G</x:v>
      </x:c>
      <x:c r="N180" s="20" t="str">
        <x:v>Encoded now — Extension G</x:v>
      </x:c>
      <x:c r="O180" s="20" t="str">
        <x:v>Low</x:v>
      </x:c>
      <x:c r="P180" s="20" t="str">
        <x:v>Structured</x:v>
      </x:c>
      <x:c r="Q180" s="20" t="str">
        <x:v>1.2.008 | 30C21 / (⿱𫇦𫇦一) | 𰰡𰰡 | 蒙 |  | 8499 [TGH 1] | </x:v>
      </x:c>
      <x:c r="R180" s="20" t="str">
        <x:v>Uploaded: n2924-SecondStageSimplificationStatusv3.pdf</x:v>
      </x:c>
    </x:row>
    <x:row r="181">
      <x:c r="A181" s="20" t="str">
        <x:v>1.2.008-01</x:v>
      </x:c>
      <x:c r="B181" s="20" t="n">
        <x:v>27</x:v>
      </x:c>
      <x:c r="C181" s="20" t="str">
        <x:v>Part One</x:v>
      </x:c>
      <x:c r="D181" s="20" t="str">
        <x:v>1.2</x:v>
      </x:c>
      <x:c r="E181" s="20" t="str">
        <x:v>Part One — Generic Simplifications / Derived Forms</x:v>
      </x:c>
      <x:c r="F181" s="20" t="str">
        <x:v>30CBD
(⿰虫𰰡𰰡)</x:v>
      </x:c>
      <x:c r="G181" s="20" t="str">
        <x:v>𰲽𰲽</x:v>
      </x:c>
      <x:c r="H181" s="20" t="str">
        <x:v>蠓</x:v>
      </x:c>
      <x:c r="I181" s="20" t="str"/>
      <x:c r="J181" s="20" t="str">
        <x:v>8813 [TGH 2]</x:v>
      </x:c>
      <x:c r="K181" s="20" t="str"/>
      <x:c r="L181" s="20" t="str">
        <x:v>U+30CBD</x:v>
      </x:c>
      <x:c r="M181" s="20" t="str">
        <x:v>CJK Unified Ideographs Extension G</x:v>
      </x:c>
      <x:c r="N181" s="20" t="str">
        <x:v>Encoded now — Extension G</x:v>
      </x:c>
      <x:c r="O181" s="20" t="str">
        <x:v>Low</x:v>
      </x:c>
      <x:c r="P181" s="20" t="str">
        <x:v>Structured</x:v>
      </x:c>
      <x:c r="Q181" s="20" t="str">
        <x:v>1.2.008-01 | 30CBD / (⿰虫𰰡𰰡) | 𰲽𰲽 | 蠓 |  | 8813 [TGH 2] | </x:v>
      </x:c>
      <x:c r="R181" s="20" t="str">
        <x:v>Uploaded: n2924-SecondStageSimplificationStatusv3.pdf</x:v>
      </x:c>
    </x:row>
    <x:row r="182">
      <x:c r="A182" s="20" t="str">
        <x:v>1.2.009</x:v>
      </x:c>
      <x:c r="B182" s="20" t="n">
        <x:v>27</x:v>
      </x:c>
      <x:c r="C182" s="20" t="str">
        <x:v>Part One</x:v>
      </x:c>
      <x:c r="D182" s="20" t="str">
        <x:v>1.2</x:v>
      </x:c>
      <x:c r="E182" s="20" t="str">
        <x:v>Part One — Generic Simplifications / Derived Forms</x:v>
      </x:c>
      <x:c r="F182" s="20" t="str">
        <x:v>2BA51
[UNUSED]</x:v>
      </x:c>
      <x:c r="G182" s="20" t="str">
        <x:v>面</x:v>
      </x:c>
      <x:c r="H182" s="20" t="str">
        <x:v>面</x:v>
      </x:c>
      <x:c r="I182" s="20" t="str"/>
      <x:c r="J182" s="20" t="str">
        <x:v>9762 [TGH 1]</x:v>
      </x:c>
      <x:c r="K182" s="20" t="str"/>
      <x:c r="L182" s="20" t="str">
        <x:v>U+2BA51</x:v>
      </x:c>
      <x:c r="M182" s="20" t="str">
        <x:v>CJK Unified Ideographs Extension E</x:v>
      </x:c>
      <x:c r="N182" s="20" t="str">
        <x:v>Unicode code point recorded</x:v>
      </x:c>
      <x:c r="O182" s="20" t="str">
        <x:v>Low</x:v>
      </x:c>
      <x:c r="P182" s="20" t="str">
        <x:v>Structured</x:v>
      </x:c>
      <x:c r="Q182" s="20" t="str">
        <x:v>1.2.009 | 2BA51 / [UNUSED] | 面 | 面 |  | 9762 [TGH 1] | </x:v>
      </x:c>
      <x:c r="R182" s="20" t="str">
        <x:v>Uploaded: n2924-SecondStageSimplificationStatusv3.pdf</x:v>
      </x:c>
    </x:row>
    <x:row r="183">
      <x:c r="A183" s="20" t="str">
        <x:v>1.2.009-01</x:v>
      </x:c>
      <x:c r="B183" s="20" t="n">
        <x:v>27</x:v>
      </x:c>
      <x:c r="C183" s="20" t="str">
        <x:v>Part One</x:v>
      </x:c>
      <x:c r="D183" s="20" t="str">
        <x:v>1.2</x:v>
      </x:c>
      <x:c r="E183" s="20" t="str">
        <x:v>Part One — Generic Simplifications / Derived Forms</x:v>
      </x:c>
      <x:c r="F183" s="20" t="str">
        <x:v>30B04
(⿰纟𫩑𫩑)</x:v>
      </x:c>
      <x:c r="G183" s="20" t="str">
        <x:v>𰬄𰬄</x:v>
      </x:c>
      <x:c r="H183" s="20" t="str">
        <x:v>缅</x:v>
      </x:c>
      <x:c r="I183" s="20" t="str"/>
      <x:c r="J183" s="20" t="str">
        <x:v>7F05 [TGH 1]</x:v>
      </x:c>
      <x:c r="K183" s="20" t="str"/>
      <x:c r="L183" s="20" t="str">
        <x:v>U+30B04</x:v>
      </x:c>
      <x:c r="M183" s="20" t="str">
        <x:v>CJK Unified Ideographs Extension G</x:v>
      </x:c>
      <x:c r="N183" s="20" t="str">
        <x:v>Encoded now — Extension G</x:v>
      </x:c>
      <x:c r="O183" s="20" t="str">
        <x:v>Low</x:v>
      </x:c>
      <x:c r="P183" s="20" t="str">
        <x:v>Structured</x:v>
      </x:c>
      <x:c r="Q183" s="20" t="str">
        <x:v>1.2.009-01 | 30B04 / (⿰纟𫩑𫩑) | 𰬄𰬄 | 缅 |  | 7F05 [TGH 1] | </x:v>
      </x:c>
      <x:c r="R183" s="20" t="str">
        <x:v>Uploaded: n2924-SecondStageSimplificationStatusv3.pdf</x:v>
      </x:c>
    </x:row>
    <x:row r="184">
      <x:c r="A184" s="20" t="str">
        <x:v>1.2.010</x:v>
      </x:c>
      <x:c r="B184" s="20" t="n">
        <x:v>27</x:v>
      </x:c>
      <x:c r="C184" s="20" t="str">
        <x:v>Part One</x:v>
      </x:c>
      <x:c r="D184" s="20" t="str">
        <x:v>1.2</x:v>
      </x:c>
      <x:c r="E184" s="20" t="str">
        <x:v>Part One — Generic Simplifications / Derived Forms</x:v>
      </x:c>
      <x:c r="F184" s="20" t="str">
        <x:v>30009
(⿻一中)</x:v>
      </x:c>
      <x:c r="G184" s="20" t="str">
        <x:v>𰀉𰀉</x:v>
      </x:c>
      <x:c r="H184" s="20" t="str">
        <x:v>囊囔</x:v>
      </x:c>
      <x:c r="I184" s="20" t="str"/>
      <x:c r="J184" s="20" t="str">
        <x:v>56CA [TGH 1]
56D4 [TGH 2]</x:v>
      </x:c>
      <x:c r="K184" s="20" t="str"/>
      <x:c r="L184" s="20" t="str">
        <x:v>U+30009</x:v>
      </x:c>
      <x:c r="M184" s="20" t="str">
        <x:v>CJK Unified Ideographs Extension G</x:v>
      </x:c>
      <x:c r="N184" s="20" t="str">
        <x:v>Encoded now — Extension G</x:v>
      </x:c>
      <x:c r="O184" s="20" t="str">
        <x:v>Low</x:v>
      </x:c>
      <x:c r="P184" s="20" t="str">
        <x:v>Structured</x:v>
      </x:c>
      <x:c r="Q184" s="20" t="str">
        <x:v>1.2.010 | 30009 / (⿻一中) | 𰀉𰀉 | 囊囔 |  | 56CA [TGH 1] / 56D4 [TGH 2] | </x:v>
      </x:c>
      <x:c r="R184" s="20" t="str">
        <x:v>Uploaded: n2924-SecondStageSimplificationStatusv3.pdf</x:v>
      </x:c>
    </x:row>
    <x:row r="185">
      <x:c r="A185" s="20" t="str">
        <x:v>1.2.010-01</x:v>
      </x:c>
      <x:c r="B185" s="20" t="n">
        <x:v>27</x:v>
      </x:c>
      <x:c r="C185" s="20" t="str">
        <x:v>Part One</x:v>
      </x:c>
      <x:c r="D185" s="20" t="str">
        <x:v>1.2</x:v>
      </x:c>
      <x:c r="E185" s="20" t="str">
        <x:v>Part One — Generic Simplifications / Derived Forms</x:v>
      </x:c>
      <x:c r="F185" s="20" t="str">
        <x:v>304CC
(⿰扌𰀉𰀉)</x:v>
      </x:c>
      <x:c r="G185" s="20" t="str">
        <x:v>𰓌𰓌</x:v>
      </x:c>
      <x:c r="H185" s="20" t="str">
        <x:v>攮</x:v>
      </x:c>
      <x:c r="I185" s="20" t="str"/>
      <x:c r="J185" s="20" t="str">
        <x:v>652E [TGH 2]</x:v>
      </x:c>
      <x:c r="K185" s="20" t="str"/>
      <x:c r="L185" s="20" t="str">
        <x:v>U+304CC</x:v>
      </x:c>
      <x:c r="M185" s="20" t="str">
        <x:v>CJK Unified Ideographs Extension G</x:v>
      </x:c>
      <x:c r="N185" s="20" t="str">
        <x:v>Encoded now — Extension G</x:v>
      </x:c>
      <x:c r="O185" s="20" t="str">
        <x:v>Low</x:v>
      </x:c>
      <x:c r="P185" s="20" t="str">
        <x:v>Structured</x:v>
      </x:c>
      <x:c r="Q185" s="20" t="str">
        <x:v>1.2.010-01 | 304CC / (⿰扌𰀉𰀉) | 𰓌𰓌 | 攮 |  | 652E [TGH 2] | </x:v>
      </x:c>
      <x:c r="R185" s="20" t="str">
        <x:v>Uploaded: n2924-SecondStageSimplificationStatusv3.pdf</x:v>
      </x:c>
    </x:row>
    <x:row r="186">
      <x:c r="A186" s="20" t="str">
        <x:v>1.2.011</x:v>
      </x:c>
      <x:c r="B186" s="20" t="n">
        <x:v>28</x:v>
      </x:c>
      <x:c r="C186" s="20" t="str">
        <x:v>Part One</x:v>
      </x:c>
      <x:c r="D186" s="20" t="str">
        <x:v>1.2</x:v>
      </x:c>
      <x:c r="E186" s="20" t="str">
        <x:v>Part One — Generic Simplifications / Derived Forms</x:v>
      </x:c>
      <x:c r="F186" s="20" t="str">
        <x:v>30008
(⿱𰀁𰀁龴)</x:v>
      </x:c>
      <x:c r="G186" s="20" t="str">
        <x:v>𰀈𰀈</x:v>
      </x:c>
      <x:c r="H186" s="20" t="str">
        <x:v>青</x:v>
      </x:c>
      <x:c r="I186" s="20" t="str"/>
      <x:c r="J186" s="20" t="str">
        <x:v>9752 [TGH 1]</x:v>
      </x:c>
      <x:c r="K186" s="20" t="str"/>
      <x:c r="L186" s="20" t="str">
        <x:v>U+30008</x:v>
      </x:c>
      <x:c r="M186" s="20" t="str">
        <x:v>CJK Unified Ideographs Extension G</x:v>
      </x:c>
      <x:c r="N186" s="20" t="str">
        <x:v>Encoded now — Extension G</x:v>
      </x:c>
      <x:c r="O186" s="20" t="str">
        <x:v>Low</x:v>
      </x:c>
      <x:c r="P186" s="20" t="str">
        <x:v>Structured</x:v>
      </x:c>
      <x:c r="Q186" s="20" t="str">
        <x:v>1.2.011 | 30008 / (⿱𰀁𰀁龴) | 𰀈𰀈 | 青 |  | 9752 [TGH 1] | </x:v>
      </x:c>
      <x:c r="R186" s="20" t="str">
        <x:v>Uploaded: n2924-SecondStageSimplificationStatusv3.pdf</x:v>
      </x:c>
    </x:row>
    <x:row r="187">
      <x:c r="A187" s="20" t="str">
        <x:v>1.2.011-01</x:v>
      </x:c>
      <x:c r="B187" s="20" t="n">
        <x:v>29</x:v>
      </x:c>
      <x:c r="C187" s="20" t="str">
        <x:v>Part One</x:v>
      </x:c>
      <x:c r="D187" s="20" t="str">
        <x:v>1.2</x:v>
      </x:c>
      <x:c r="E187" s="20" t="str">
        <x:v>Part One — Generic Simplifications / Derived Forms</x:v>
      </x:c>
      <x:c r="F187" s="20" t="str">
        <x:v>30D55
(⿰讠𰀈𰀈)</x:v>
      </x:c>
      <x:c r="G187" s="20" t="str">
        <x:v>𰵕𰵕</x:v>
      </x:c>
      <x:c r="H187" s="20" t="str">
        <x:v>请</x:v>
      </x:c>
      <x:c r="I187" s="20" t="str"/>
      <x:c r="J187" s="20" t="str">
        <x:v>8BF7 [TGH 1]</x:v>
      </x:c>
      <x:c r="K187" s="20" t="str"/>
      <x:c r="L187" s="20" t="str">
        <x:v>U+30D55</x:v>
      </x:c>
      <x:c r="M187" s="20" t="str">
        <x:v>CJK Unified Ideographs Extension G</x:v>
      </x:c>
      <x:c r="N187" s="20" t="str">
        <x:v>Encoded now — Extension G</x:v>
      </x:c>
      <x:c r="O187" s="20" t="str">
        <x:v>Low</x:v>
      </x:c>
      <x:c r="P187" s="20" t="str">
        <x:v>Structured</x:v>
      </x:c>
      <x:c r="Q187" s="20" t="str">
        <x:v>1.2.011-01 | 30D55 / (⿰讠𰀈𰀈) | 𰵕𰵕 | 请 |  | 8BF7 [TGH 1] | </x:v>
      </x:c>
      <x:c r="R187" s="20" t="str">
        <x:v>Uploaded: n2924-SecondStageSimplificationStatusv3.pdf</x:v>
      </x:c>
    </x:row>
    <x:row r="188">
      <x:c r="A188" s="20" t="str">
        <x:v>1.2.011-02</x:v>
      </x:c>
      <x:c r="B188" s="20" t="n">
        <x:v>28</x:v>
      </x:c>
      <x:c r="C188" s="20" t="str">
        <x:v>Part One</x:v>
      </x:c>
      <x:c r="D188" s="20" t="str">
        <x:v>1.2</x:v>
      </x:c>
      <x:c r="E188" s="20" t="str">
        <x:v>Part One — Generic Simplifications / Derived Forms</x:v>
      </x:c>
      <x:c r="F188" s="20" t="str">
        <x:v>30C2B
(⿱艹𰀈𰀈)</x:v>
      </x:c>
      <x:c r="G188" s="20" t="str">
        <x:v>𰰫𰰫</x:v>
      </x:c>
      <x:c r="H188" s="20" t="str">
        <x:v>菁</x:v>
      </x:c>
      <x:c r="I188" s="20" t="str"/>
      <x:c r="J188" s="20" t="str">
        <x:v>83C1 [TGH 2]</x:v>
      </x:c>
      <x:c r="K188" s="20" t="str"/>
      <x:c r="L188" s="20" t="str">
        <x:v>U+30C2B</x:v>
      </x:c>
      <x:c r="M188" s="20" t="str">
        <x:v>CJK Unified Ideographs Extension G</x:v>
      </x:c>
      <x:c r="N188" s="20" t="str">
        <x:v>Encoded now — Extension G</x:v>
      </x:c>
      <x:c r="O188" s="20" t="str">
        <x:v>Low</x:v>
      </x:c>
      <x:c r="P188" s="20" t="str">
        <x:v>Structured</x:v>
      </x:c>
      <x:c r="Q188" s="20" t="str">
        <x:v>1.2.011-02 | 30C2B / (⿱艹𰀈𰀈) | 𰰫𰰫 | 菁 |  | 83C1 [TGH 2] | </x:v>
      </x:c>
      <x:c r="R188" s="20" t="str">
        <x:v>Uploaded: n2924-SecondStageSimplificationStatusv3.pdf</x:v>
      </x:c>
    </x:row>
    <x:row r="189">
      <x:c r="A189" s="20" t="str">
        <x:v>1.2.011-03</x:v>
      </x:c>
      <x:c r="B189" s="20" t="n">
        <x:v>28</x:v>
      </x:c>
      <x:c r="C189" s="20" t="str">
        <x:v>Part One</x:v>
      </x:c>
      <x:c r="D189" s="20" t="str">
        <x:v>1.2</x:v>
      </x:c>
      <x:c r="E189" s="20" t="str">
        <x:v>Part One — Generic Simplifications / Derived Forms</x:v>
      </x:c>
      <x:c r="F189" s="20" t="str">
        <x:v>30842
(⿰犭𰀈𰀈)</x:v>
      </x:c>
      <x:c r="G189" s="20" t="str">
        <x:v>𰡂𰡂</x:v>
      </x:c>
      <x:c r="H189" s="20" t="str">
        <x:v>猜</x:v>
      </x:c>
      <x:c r="I189" s="20" t="str"/>
      <x:c r="J189" s="20" t="str">
        <x:v>731C [TGH 1]</x:v>
      </x:c>
      <x:c r="K189" s="20" t="str"/>
      <x:c r="L189" s="20" t="str">
        <x:v>U+30842</x:v>
      </x:c>
      <x:c r="M189" s="20" t="str">
        <x:v>CJK Unified Ideographs Extension G</x:v>
      </x:c>
      <x:c r="N189" s="20" t="str">
        <x:v>Encoded now — Extension G</x:v>
      </x:c>
      <x:c r="O189" s="20" t="str">
        <x:v>Low</x:v>
      </x:c>
      <x:c r="P189" s="20" t="str">
        <x:v>Structured</x:v>
      </x:c>
      <x:c r="Q189" s="20" t="str">
        <x:v>1.2.011-03 | 30842 / (⿰犭𰀈𰀈) | 𰡂𰡂 | 猜 |  | 731C [TGH 1] | </x:v>
      </x:c>
      <x:c r="R189" s="20" t="str">
        <x:v>Uploaded: n2924-SecondStageSimplificationStatusv3.pdf</x:v>
      </x:c>
    </x:row>
    <x:row r="190">
      <x:c r="A190" s="20" t="str">
        <x:v>1.2.011-04</x:v>
      </x:c>
      <x:c r="B190" s="20" t="n">
        <x:v>28</x:v>
      </x:c>
      <x:c r="C190" s="20" t="str">
        <x:v>Part One</x:v>
      </x:c>
      <x:c r="D190" s="20" t="str">
        <x:v>1.2</x:v>
      </x:c>
      <x:c r="E190" s="20" t="str">
        <x:v>Part One — Generic Simplifications / Derived Forms</x:v>
      </x:c>
      <x:c r="F190" s="20" t="str">
        <x:v>3044A
(⿰忄𰀈𰀈)</x:v>
      </x:c>
      <x:c r="G190" s="20" t="str">
        <x:v>𰑊𰑊</x:v>
      </x:c>
      <x:c r="H190" s="20" t="str">
        <x:v>情</x:v>
      </x:c>
      <x:c r="I190" s="20" t="str"/>
      <x:c r="J190" s="20" t="str">
        <x:v>60C5 [TGH 1]</x:v>
      </x:c>
      <x:c r="K190" s="20" t="str"/>
      <x:c r="L190" s="20" t="str">
        <x:v>U+3044A</x:v>
      </x:c>
      <x:c r="M190" s="20" t="str">
        <x:v>CJK Unified Ideographs Extension G</x:v>
      </x:c>
      <x:c r="N190" s="20" t="str">
        <x:v>Encoded now — Extension G</x:v>
      </x:c>
      <x:c r="O190" s="20" t="str">
        <x:v>Low</x:v>
      </x:c>
      <x:c r="P190" s="20" t="str">
        <x:v>Structured</x:v>
      </x:c>
      <x:c r="Q190" s="20" t="str">
        <x:v>1.2.011-04 | 3044A / (⿰忄𰀈𰀈) | 𰑊𰑊 | 情 |  | 60C5 [TGH 1] | </x:v>
      </x:c>
      <x:c r="R190" s="20" t="str">
        <x:v>Uploaded: n2924-SecondStageSimplificationStatusv3.pdf</x:v>
      </x:c>
    </x:row>
    <x:row r="191">
      <x:c r="A191" s="20" t="str">
        <x:v>1.2.011-05</x:v>
      </x:c>
      <x:c r="B191" s="20" t="n">
        <x:v>28</x:v>
      </x:c>
      <x:c r="C191" s="20" t="str">
        <x:v>Part One</x:v>
      </x:c>
      <x:c r="D191" s="20" t="str">
        <x:v>1.2</x:v>
      </x:c>
      <x:c r="E191" s="20" t="str">
        <x:v>Part One — Generic Simplifications / Derived Forms</x:v>
      </x:c>
      <x:c r="F191" s="20" t="str">
        <x:v>306D3
(⿰氵𰀈𰀈)</x:v>
      </x:c>
      <x:c r="G191" s="20" t="str">
        <x:v>𰛓𰛓</x:v>
      </x:c>
      <x:c r="H191" s="20" t="str">
        <x:v>清</x:v>
      </x:c>
      <x:c r="I191" s="20" t="str"/>
      <x:c r="J191" s="20" t="str">
        <x:v>6E05 [TGH 1]</x:v>
      </x:c>
      <x:c r="K191" s="20" t="str"/>
      <x:c r="L191" s="20" t="str">
        <x:v>U+306D3</x:v>
      </x:c>
      <x:c r="M191" s="20" t="str">
        <x:v>CJK Unified Ideographs Extension G</x:v>
      </x:c>
      <x:c r="N191" s="20" t="str">
        <x:v>Encoded now — Extension G</x:v>
      </x:c>
      <x:c r="O191" s="20" t="str">
        <x:v>Low</x:v>
      </x:c>
      <x:c r="P191" s="20" t="str">
        <x:v>Structured</x:v>
      </x:c>
      <x:c r="Q191" s="20" t="str">
        <x:v>1.2.011-05 | 306D3 / (⿰氵𰀈𰀈) | 𰛓𰛓 | 清 |  | 6E05 [TGH 1] | </x:v>
      </x:c>
      <x:c r="R191" s="20" t="str">
        <x:v>Uploaded: n2924-SecondStageSimplificationStatusv3.pdf</x:v>
      </x:c>
    </x:row>
    <x:row r="192">
      <x:c r="A192" s="20" t="str">
        <x:v>1.2.011-06</x:v>
      </x:c>
      <x:c r="B192" s="20" t="n">
        <x:v>28</x:v>
      </x:c>
      <x:c r="C192" s="20" t="str">
        <x:v>Part One</x:v>
      </x:c>
      <x:c r="D192" s="20" t="str">
        <x:v>1.2</x:v>
      </x:c>
      <x:c r="E192" s="20" t="str">
        <x:v>Part One — Generic Simplifications / Derived Forms</x:v>
      </x:c>
      <x:c r="F192" s="20" t="str">
        <x:v>3057A
(⿰日𰀈𰀈)</x:v>
      </x:c>
      <x:c r="G192" s="20" t="str">
        <x:v>𰕺𰕺</x:v>
      </x:c>
      <x:c r="H192" s="20" t="str">
        <x:v>晴</x:v>
      </x:c>
      <x:c r="I192" s="20" t="str"/>
      <x:c r="J192" s="20" t="str">
        <x:v>6674 [TGH 1]</x:v>
      </x:c>
      <x:c r="K192" s="20" t="str"/>
      <x:c r="L192" s="20" t="str">
        <x:v>U+3057A</x:v>
      </x:c>
      <x:c r="M192" s="20" t="str">
        <x:v>CJK Unified Ideographs Extension G</x:v>
      </x:c>
      <x:c r="N192" s="20" t="str">
        <x:v>Encoded now — Extension G</x:v>
      </x:c>
      <x:c r="O192" s="20" t="str">
        <x:v>Low</x:v>
      </x:c>
      <x:c r="P192" s="20" t="str">
        <x:v>Structured</x:v>
      </x:c>
      <x:c r="Q192" s="20" t="str">
        <x:v>1.2.011-06 | 3057A / (⿰日𰀈𰀈) | 𰕺𰕺 | 晴 |  | 6674 [TGH 1] | </x:v>
      </x:c>
      <x:c r="R192" s="20" t="str">
        <x:v>Uploaded: n2924-SecondStageSimplificationStatusv3.pdf</x:v>
      </x:c>
    </x:row>
    <x:row r="193">
      <x:c r="A193" s="20" t="str">
        <x:v>1.2.011-07</x:v>
      </x:c>
      <x:c r="B193" s="20" t="n">
        <x:v>28</x:v>
      </x:c>
      <x:c r="C193" s="20" t="str">
        <x:v>Part One</x:v>
      </x:c>
      <x:c r="D193" s="20" t="str">
        <x:v>1.2</x:v>
      </x:c>
      <x:c r="E193" s="20" t="str">
        <x:v>Part One — Generic Simplifications / Derived Forms</x:v>
      </x:c>
      <x:c r="F193" s="20" t="str">
        <x:v>30955
(⿰目𰀈𰀈)</x:v>
      </x:c>
      <x:c r="G193" s="20" t="str">
        <x:v>𰥕𰥕</x:v>
      </x:c>
      <x:c r="H193" s="20" t="str">
        <x:v>睛</x:v>
      </x:c>
      <x:c r="I193" s="20" t="str"/>
      <x:c r="J193" s="20" t="str">
        <x:v>775B [TGH 1]</x:v>
      </x:c>
      <x:c r="K193" s="20" t="str"/>
      <x:c r="L193" s="20" t="str">
        <x:v>U+30955</x:v>
      </x:c>
      <x:c r="M193" s="20" t="str">
        <x:v>CJK Unified Ideographs Extension G</x:v>
      </x:c>
      <x:c r="N193" s="20" t="str">
        <x:v>Encoded now — Extension G</x:v>
      </x:c>
      <x:c r="O193" s="20" t="str">
        <x:v>Low</x:v>
      </x:c>
      <x:c r="P193" s="20" t="str">
        <x:v>Structured</x:v>
      </x:c>
      <x:c r="Q193" s="20" t="str">
        <x:v>1.2.011-07 | 30955 / (⿰目𰀈𰀈) | 𰥕𰥕 | 睛 |  | 775B [TGH 1] | </x:v>
      </x:c>
      <x:c r="R193" s="20" t="str">
        <x:v>Uploaded: n2924-SecondStageSimplificationStatusv3.pdf</x:v>
      </x:c>
    </x:row>
    <x:row r="194">
      <x:c r="A194" s="20" t="str">
        <x:v>1.2.011-08</x:v>
      </x:c>
      <x:c r="B194" s="20" t="n">
        <x:v>29</x:v>
      </x:c>
      <x:c r="C194" s="20" t="str">
        <x:v>Part One</x:v>
      </x:c>
      <x:c r="D194" s="20" t="str">
        <x:v>1.2</x:v>
      </x:c>
      <x:c r="E194" s="20" t="str">
        <x:v>Part One — Generic Simplifications / Derived Forms</x:v>
      </x:c>
      <x:c r="F194" s="20" t="str">
        <x:v>30A62
(⿰立𰀈𰀈)</x:v>
      </x:c>
      <x:c r="G194" s="20" t="str">
        <x:v>𰩢𰩢</x:v>
      </x:c>
      <x:c r="H194" s="20" t="str">
        <x:v>靖</x:v>
      </x:c>
      <x:c r="I194" s="20" t="str"/>
      <x:c r="J194" s="20" t="str">
        <x:v>9756 [TGH 1]</x:v>
      </x:c>
      <x:c r="K194" s="20" t="str"/>
      <x:c r="L194" s="20" t="str">
        <x:v>U+30A62</x:v>
      </x:c>
      <x:c r="M194" s="20" t="str">
        <x:v>CJK Unified Ideographs Extension G</x:v>
      </x:c>
      <x:c r="N194" s="20" t="str">
        <x:v>Encoded now — Extension G</x:v>
      </x:c>
      <x:c r="O194" s="20" t="str">
        <x:v>Low</x:v>
      </x:c>
      <x:c r="P194" s="20" t="str">
        <x:v>Structured</x:v>
      </x:c>
      <x:c r="Q194" s="20" t="str">
        <x:v>1.2.011-08 | 30A62 / (⿰立𰀈𰀈) | 𰩢𰩢 | 靖 |  | 9756 [TGH 1] | </x:v>
      </x:c>
      <x:c r="R194" s="20" t="str">
        <x:v>Uploaded: n2924-SecondStageSimplificationStatusv3.pdf</x:v>
      </x:c>
    </x:row>
    <x:row r="195">
      <x:c r="A195" s="20" t="str">
        <x:v>1.2.011-09</x:v>
      </x:c>
      <x:c r="B195" s="20" t="n">
        <x:v>29</x:v>
      </x:c>
      <x:c r="C195" s="20" t="str">
        <x:v>Part One</x:v>
      </x:c>
      <x:c r="D195" s="20" t="str">
        <x:v>1.2</x:v>
      </x:c>
      <x:c r="E195" s="20" t="str">
        <x:v>Part One — Generic Simplifications / Derived Forms</x:v>
      </x:c>
      <x:c r="F195" s="20" t="str">
        <x:v>30053
(⿰𰀈𰀈争)</x:v>
      </x:c>
      <x:c r="G195" s="20" t="str">
        <x:v>𰁓𰁓</x:v>
      </x:c>
      <x:c r="H195" s="20" t="str">
        <x:v>静</x:v>
      </x:c>
      <x:c r="I195" s="20" t="str"/>
      <x:c r="J195" s="20" t="str">
        <x:v>9759 [TGH 1]</x:v>
      </x:c>
      <x:c r="K195" s="20" t="str"/>
      <x:c r="L195" s="20" t="str">
        <x:v>U+30053</x:v>
      </x:c>
      <x:c r="M195" s="20" t="str">
        <x:v>CJK Unified Ideographs Extension G</x:v>
      </x:c>
      <x:c r="N195" s="20" t="str">
        <x:v>Encoded now — Extension G</x:v>
      </x:c>
      <x:c r="O195" s="20" t="str">
        <x:v>Low</x:v>
      </x:c>
      <x:c r="P195" s="20" t="str">
        <x:v>Structured</x:v>
      </x:c>
      <x:c r="Q195" s="20" t="str">
        <x:v>1.2.011-09 | 30053 / (⿰𰀈𰀈争) | 𰁓𰁓 | 静 |  | 9759 [TGH 1] | </x:v>
      </x:c>
      <x:c r="R195" s="20" t="str">
        <x:v>Uploaded: n2924-SecondStageSimplificationStatusv3.pdf</x:v>
      </x:c>
    </x:row>
    <x:row r="196">
      <x:c r="A196" s="20" t="str">
        <x:v>1.2.011-10</x:v>
      </x:c>
      <x:c r="B196" s="20" t="n">
        <x:v>28</x:v>
      </x:c>
      <x:c r="C196" s="20" t="str">
        <x:v>Part One</x:v>
      </x:c>
      <x:c r="D196" s="20" t="str">
        <x:v>1.2</x:v>
      </x:c>
      <x:c r="E196" s="20" t="str">
        <x:v>Part One — Generic Simplifications / Derived Forms</x:v>
      </x:c>
      <x:c r="F196" s="20" t="str">
        <x:v>30AB1
(⿰米𰀈𰀈)</x:v>
      </x:c>
      <x:c r="G196" s="20" t="str">
        <x:v>𰪱𰪱</x:v>
      </x:c>
      <x:c r="H196" s="20" t="str">
        <x:v>精</x:v>
      </x:c>
      <x:c r="I196" s="20" t="str"/>
      <x:c r="J196" s="20" t="str">
        <x:v>7CBE [TGH 1]</x:v>
      </x:c>
      <x:c r="K196" s="20" t="str"/>
      <x:c r="L196" s="20" t="str">
        <x:v>U+30AB1</x:v>
      </x:c>
      <x:c r="M196" s="20" t="str">
        <x:v>CJK Unified Ideographs Extension G</x:v>
      </x:c>
      <x:c r="N196" s="20" t="str">
        <x:v>Encoded now — Extension G</x:v>
      </x:c>
      <x:c r="O196" s="20" t="str">
        <x:v>Low</x:v>
      </x:c>
      <x:c r="P196" s="20" t="str">
        <x:v>Structured</x:v>
      </x:c>
      <x:c r="Q196" s="20" t="str">
        <x:v>1.2.011-10 | 30AB1 / (⿰米𰀈𰀈) | 𰪱𰪱 | 精 |  | 7CBE [TGH 1] | </x:v>
      </x:c>
      <x:c r="R196" s="20" t="str">
        <x:v>Uploaded: n2924-SecondStageSimplificationStatusv3.pdf</x:v>
      </x:c>
    </x:row>
    <x:row r="197">
      <x:c r="A197" s="20" t="str">
        <x:v>1.2.011-11</x:v>
      </x:c>
      <x:c r="B197" s="20" t="n">
        <x:v>29</x:v>
      </x:c>
      <x:c r="C197" s="20" t="str">
        <x:v>Part One</x:v>
      </x:c>
      <x:c r="D197" s="20" t="str">
        <x:v>1.2</x:v>
      </x:c>
      <x:c r="E197" s="20" t="str">
        <x:v>Part One — Generic Simplifications / Derived Forms</x:v>
      </x:c>
      <x:c r="F197" s="20" t="str">
        <x:v>3034E
(⿰𰀈𰀈定)</x:v>
      </x:c>
      <x:c r="G197" s="20" t="str">
        <x:v>𰍎𰍎</x:v>
      </x:c>
      <x:c r="H197" s="20" t="str">
        <x:v>靛</x:v>
      </x:c>
      <x:c r="I197" s="20" t="str"/>
      <x:c r="J197" s="20" t="str">
        <x:v>975B [TGH 2]</x:v>
      </x:c>
      <x:c r="K197" s="20" t="str"/>
      <x:c r="L197" s="20" t="str">
        <x:v>U+3034E</x:v>
      </x:c>
      <x:c r="M197" s="20" t="str">
        <x:v>CJK Unified Ideographs Extension G</x:v>
      </x:c>
      <x:c r="N197" s="20" t="str">
        <x:v>Encoded now — Extension G</x:v>
      </x:c>
      <x:c r="O197" s="20" t="str">
        <x:v>Low</x:v>
      </x:c>
      <x:c r="P197" s="20" t="str">
        <x:v>Structured</x:v>
      </x:c>
      <x:c r="Q197" s="20" t="str">
        <x:v>1.2.011-11 | 3034E / (⿰𰀈𰀈定) | 𰍎𰍎 | 靛 |  | 975B [TGH 2] | </x:v>
      </x:c>
      <x:c r="R197" s="20" t="str">
        <x:v>Uploaded: n2924-SecondStageSimplificationStatusv3.pdf</x:v>
      </x:c>
    </x:row>
    <x:row r="198">
      <x:c r="A198" s="20" t="str">
        <x:v>1.2.012</x:v>
      </x:c>
      <x:c r="B198" s="20" t="n">
        <x:v>29</x:v>
      </x:c>
      <x:c r="C198" s="20" t="str">
        <x:v>Part One</x:v>
      </x:c>
      <x:c r="D198" s="20" t="str">
        <x:v>1.2</x:v>
      </x:c>
      <x:c r="E198" s="20" t="str">
        <x:v>Part One — Generic Simplifications / Derived Forms</x:v>
      </x:c>
      <x:c r="F198" s="20" t="str">
        <x:v>305D1
(⿱又木)</x:v>
      </x:c>
      <x:c r="G198" s="20" t="str">
        <x:v>𰗑𰗑</x:v>
      </x:c>
      <x:c r="H198" s="20" t="str">
        <x:v>桑</x:v>
      </x:c>
      <x:c r="I198" s="20" t="str"/>
      <x:c r="J198" s="20" t="str">
        <x:v>6851 [TGH 1]</x:v>
      </x:c>
      <x:c r="K198" s="20" t="str"/>
      <x:c r="L198" s="20" t="str">
        <x:v>U+305D1</x:v>
      </x:c>
      <x:c r="M198" s="20" t="str">
        <x:v>CJK Unified Ideographs Extension G</x:v>
      </x:c>
      <x:c r="N198" s="20" t="str">
        <x:v>Encoded now — Extension G</x:v>
      </x:c>
      <x:c r="O198" s="20" t="str">
        <x:v>Low</x:v>
      </x:c>
      <x:c r="P198" s="20" t="str">
        <x:v>Structured</x:v>
      </x:c>
      <x:c r="Q198" s="20" t="str">
        <x:v>1.2.012 | 305D1 / (⿱又木) | 𰗑𰗑 | 桑 |  | 6851 [TGH 1] | </x:v>
      </x:c>
      <x:c r="R198" s="20" t="str">
        <x:v>Uploaded: n2924-SecondStageSimplificationStatusv3.pdf</x:v>
      </x:c>
    </x:row>
    <x:row r="199">
      <x:c r="A199" s="20" t="str">
        <x:v>1.2.012-01</x:v>
      </x:c>
      <x:c r="B199" s="20" t="n">
        <x:v>29</x:v>
      </x:c>
      <x:c r="C199" s="20" t="str">
        <x:v>Part One</x:v>
      </x:c>
      <x:c r="D199" s="20" t="str">
        <x:v>1.2</x:v>
      </x:c>
      <x:c r="E199" s="20" t="str">
        <x:v>Part One — Generic Simplifications / Derived Forms</x:v>
      </x:c>
      <x:c r="F199" s="20" t="str">
        <x:v>304E8
(⿰扌𰗑𰗑)</x:v>
      </x:c>
      <x:c r="G199" s="20" t="str">
        <x:v>𰓨𰓨</x:v>
      </x:c>
      <x:c r="H199" s="20" t="str">
        <x:v>搡</x:v>
      </x:c>
      <x:c r="I199" s="20" t="str"/>
      <x:c r="J199" s="20" t="str">
        <x:v>6421 [TGH 2]</x:v>
      </x:c>
      <x:c r="K199" s="20" t="str"/>
      <x:c r="L199" s="20" t="str">
        <x:v>U+304E8</x:v>
      </x:c>
      <x:c r="M199" s="20" t="str">
        <x:v>CJK Unified Ideographs Extension G</x:v>
      </x:c>
      <x:c r="N199" s="20" t="str">
        <x:v>Encoded now — Extension G</x:v>
      </x:c>
      <x:c r="O199" s="20" t="str">
        <x:v>Low</x:v>
      </x:c>
      <x:c r="P199" s="20" t="str">
        <x:v>Structured</x:v>
      </x:c>
      <x:c r="Q199" s="20" t="str">
        <x:v>1.2.012-01 | 304E8 / (⿰扌𰗑𰗑) | 𰓨𰓨 | 搡 |  | 6421 [TGH 2] | </x:v>
      </x:c>
      <x:c r="R199" s="20" t="str">
        <x:v>Uploaded: n2924-SecondStageSimplificationStatusv3.pdf</x:v>
      </x:c>
    </x:row>
    <x:row r="200">
      <x:c r="A200" s="20" t="str">
        <x:v>1.2.012-02</x:v>
      </x:c>
      <x:c r="B200" s="20" t="n">
        <x:v>29</x:v>
      </x:c>
      <x:c r="C200" s="20" t="str">
        <x:v>Part One</x:v>
      </x:c>
      <x:c r="D200" s="20" t="str">
        <x:v>1.2</x:v>
      </x:c>
      <x:c r="E200" s="20" t="str">
        <x:v>Part One — Generic Simplifications / Derived Forms</x:v>
      </x:c>
      <x:c r="F200" s="20" t="str">
        <x:v>301E2
(⿰口𰗑𰗑)</x:v>
      </x:c>
      <x:c r="G200" s="20" t="str">
        <x:v>𰇢𰇢</x:v>
      </x:c>
      <x:c r="H200" s="20" t="str">
        <x:v>嗓</x:v>
      </x:c>
      <x:c r="I200" s="20" t="str"/>
      <x:c r="J200" s="20" t="str">
        <x:v>55D3 [TGH 1]</x:v>
      </x:c>
      <x:c r="K200" s="20" t="str"/>
      <x:c r="L200" s="20" t="str">
        <x:v>U+301E2</x:v>
      </x:c>
      <x:c r="M200" s="20" t="str">
        <x:v>CJK Unified Ideographs Extension G</x:v>
      </x:c>
      <x:c r="N200" s="20" t="str">
        <x:v>Encoded now — Extension G</x:v>
      </x:c>
      <x:c r="O200" s="20" t="str">
        <x:v>Low</x:v>
      </x:c>
      <x:c r="P200" s="20" t="str">
        <x:v>Structured</x:v>
      </x:c>
      <x:c r="Q200" s="20" t="str">
        <x:v>1.2.012-02 | 301E2 / (⿰口𰗑𰗑) | 𰇢𰇢 | 嗓 |  | 55D3 [TGH 1] | </x:v>
      </x:c>
      <x:c r="R200" s="20" t="str">
        <x:v>Uploaded: n2924-SecondStageSimplificationStatusv3.pdf</x:v>
      </x:c>
    </x:row>
    <x:row r="201">
      <x:c r="A201" s="20" t="str">
        <x:v>1.2.013</x:v>
      </x:c>
      <x:c r="B201" s="20" t="n">
        <x:v>30</x:v>
      </x:c>
      <x:c r="C201" s="20" t="str">
        <x:v>Part One</x:v>
      </x:c>
      <x:c r="D201" s="20" t="str">
        <x:v>1.2</x:v>
      </x:c>
      <x:c r="E201" s="20" t="str">
        <x:v>Part One — Generic Simplifications / Derived Forms</x:v>
      </x:c>
      <x:c r="F201" s="20" t="str">
        <x:v>30371
(⿸尸专)</x:v>
      </x:c>
      <x:c r="G201" s="20" t="str">
        <x:v>𰍱𰍱</x:v>
      </x:c>
      <x:c r="H201" s="20" t="str">
        <x:v>属</x:v>
      </x:c>
      <x:c r="I201" s="20" t="str"/>
      <x:c r="J201" s="20" t="str">
        <x:v>5C5E [TGH 1]</x:v>
      </x:c>
      <x:c r="K201" s="20" t="str"/>
      <x:c r="L201" s="20" t="str">
        <x:v>U+30371</x:v>
      </x:c>
      <x:c r="M201" s="20" t="str">
        <x:v>CJK Unified Ideographs Extension G</x:v>
      </x:c>
      <x:c r="N201" s="20" t="str">
        <x:v>Encoded now — Extension G</x:v>
      </x:c>
      <x:c r="O201" s="20" t="str">
        <x:v>Low</x:v>
      </x:c>
      <x:c r="P201" s="20" t="str">
        <x:v>Structured</x:v>
      </x:c>
      <x:c r="Q201" s="20" t="str">
        <x:v>1.2.013 | 30371 / (⿸尸专) | 𰍱𰍱 | 属 |  | 5C5E [TGH 1] | </x:v>
      </x:c>
      <x:c r="R201" s="20" t="str">
        <x:v>Uploaded: n2924-SecondStageSimplificationStatusv3.pdf</x:v>
      </x:c>
    </x:row>
    <x:row r="202">
      <x:c r="A202" s="20" t="str">
        <x:v>1.2.013-01</x:v>
      </x:c>
      <x:c r="B202" s="20" t="n">
        <x:v>30</x:v>
      </x:c>
      <x:c r="C202" s="20" t="str">
        <x:v>Part One</x:v>
      </x:c>
      <x:c r="D202" s="20" t="str">
        <x:v>1.2</x:v>
      </x:c>
      <x:c r="E202" s="20" t="str">
        <x:v>Part One — Generic Simplifications / Derived Forms</x:v>
      </x:c>
      <x:c r="F202" s="20" t="str">
        <x:v>301F0
(⿰口𰍱𰍱)</x:v>
      </x:c>
      <x:c r="G202" s="20" t="str">
        <x:v>𰇰𰇰</x:v>
      </x:c>
      <x:c r="H202" s="20" t="str">
        <x:v>嘱</x:v>
      </x:c>
      <x:c r="I202" s="20" t="str"/>
      <x:c r="J202" s="20" t="str">
        <x:v>5631 [TGH 1]</x:v>
      </x:c>
      <x:c r="K202" s="20" t="str"/>
      <x:c r="L202" s="20" t="str">
        <x:v>U+301F0</x:v>
      </x:c>
      <x:c r="M202" s="20" t="str">
        <x:v>CJK Unified Ideographs Extension G</x:v>
      </x:c>
      <x:c r="N202" s="20" t="str">
        <x:v>Encoded now — Extension G</x:v>
      </x:c>
      <x:c r="O202" s="20" t="str">
        <x:v>Low</x:v>
      </x:c>
      <x:c r="P202" s="20" t="str">
        <x:v>Structured</x:v>
      </x:c>
      <x:c r="Q202" s="20" t="str">
        <x:v>1.2.013-01 | 301F0 / (⿰口𰍱𰍱) | 𰇰𰇰 | 嘱 |  | 5631 [TGH 1] | </x:v>
      </x:c>
      <x:c r="R202" s="20" t="str">
        <x:v>Uploaded: n2924-SecondStageSimplificationStatusv3.pdf</x:v>
      </x:c>
    </x:row>
    <x:row r="203">
      <x:c r="A203" s="20" t="str">
        <x:v>1.2.013-02</x:v>
      </x:c>
      <x:c r="B203" s="20" t="n">
        <x:v>30</x:v>
      </x:c>
      <x:c r="C203" s="20" t="str">
        <x:v>Part One</x:v>
      </x:c>
      <x:c r="D203" s="20" t="str">
        <x:v>1.2</x:v>
      </x:c>
      <x:c r="E203" s="20" t="str">
        <x:v>Part One — Generic Simplifications / Derived Forms</x:v>
      </x:c>
      <x:c r="F203" s="20" t="str">
        <x:v>30969
(⿰目𰍱𰍱)</x:v>
      </x:c>
      <x:c r="G203" s="20" t="str">
        <x:v>𰥩𰥩</x:v>
      </x:c>
      <x:c r="H203" s="20" t="str">
        <x:v>瞩</x:v>
      </x:c>
      <x:c r="I203" s="20" t="str"/>
      <x:c r="J203" s="20" t="str">
        <x:v>77A9 [TGH 1]</x:v>
      </x:c>
      <x:c r="K203" s="20" t="str"/>
      <x:c r="L203" s="20" t="str">
        <x:v>U+30969</x:v>
      </x:c>
      <x:c r="M203" s="20" t="str">
        <x:v>CJK Unified Ideographs Extension G</x:v>
      </x:c>
      <x:c r="N203" s="20" t="str">
        <x:v>Encoded now — Extension G</x:v>
      </x:c>
      <x:c r="O203" s="20" t="str">
        <x:v>Low</x:v>
      </x:c>
      <x:c r="P203" s="20" t="str">
        <x:v>Structured</x:v>
      </x:c>
      <x:c r="Q203" s="20" t="str">
        <x:v>1.2.013-02 | 30969 / (⿰目𰍱𰍱) | 𰥩𰥩 | 瞩 |  | 77A9 [TGH 1] | </x:v>
      </x:c>
      <x:c r="R203" s="20" t="str">
        <x:v>Uploaded: n2924-SecondStageSimplificationStatusv3.pdf</x:v>
      </x:c>
    </x:row>
    <x:row r="204">
      <x:c r="A204" s="20" t="str">
        <x:v>1.2.014</x:v>
      </x:c>
      <x:c r="B204" s="20" t="n">
        <x:v>30</x:v>
      </x:c>
      <x:c r="C204" s="20" t="str">
        <x:v>Part One</x:v>
      </x:c>
      <x:c r="D204" s="20" t="str">
        <x:v>1.2</x:v>
      </x:c>
      <x:c r="E204" s="20" t="str">
        <x:v>Part One — Generic Simplifications / Derived Forms</x:v>
      </x:c>
      <x:c r="F204" s="20" t="str">
        <x:v>5763
[UNUSED]</x:v>
      </x:c>
      <x:c r="G204" s="20" t="str">
        <x:v>坣</x:v>
      </x:c>
      <x:c r="H204" s="20" t="str">
        <x:v>堂</x:v>
      </x:c>
      <x:c r="I204" s="20" t="str"/>
      <x:c r="J204" s="20" t="str">
        <x:v>5802 [TGH 1]</x:v>
      </x:c>
      <x:c r="K204" s="20" t="str"/>
      <x:c r="L204" s="20" t="str">
        <x:v>U+5763</x:v>
      </x:c>
      <x:c r="M204" s="20" t="str">
        <x:v>CJK Unified Ideographs</x:v>
      </x:c>
      <x:c r="N204" s="20" t="str">
        <x:v>Unicode code point recorded</x:v>
      </x:c>
      <x:c r="O204" s="20" t="str">
        <x:v>Low</x:v>
      </x:c>
      <x:c r="P204" s="20" t="str">
        <x:v>Structured</x:v>
      </x:c>
      <x:c r="Q204" s="20" t="str">
        <x:v>1.2.014 | 5763 / [UNUSED] | 坣 | 堂 |  | 5802 [TGH 1] | </x:v>
      </x:c>
      <x:c r="R204" s="20" t="str">
        <x:v>Uploaded: n2924-SecondStageSimplificationStatusv3.pdf</x:v>
      </x:c>
    </x:row>
    <x:row r="205">
      <x:c r="A205" s="20" t="str">
        <x:v>1.2.014-01</x:v>
      </x:c>
      <x:c r="B205" s="20" t="n">
        <x:v>30</x:v>
      </x:c>
      <x:c r="C205" s="20" t="str">
        <x:v>Part One</x:v>
      </x:c>
      <x:c r="D205" s="20" t="str">
        <x:v>1.2</x:v>
      </x:c>
      <x:c r="E205" s="20" t="str">
        <x:v>Part One — Generic Simplifications / Derived Forms</x:v>
      </x:c>
      <x:c r="F205" s="20" t="str">
        <x:v>30CC7
(⿰虫坣)</x:v>
      </x:c>
      <x:c r="G205" s="20" t="str">
        <x:v>𰳇𰳇</x:v>
      </x:c>
      <x:c r="H205" s="20" t="str">
        <x:v>螳</x:v>
      </x:c>
      <x:c r="I205" s="20" t="str"/>
      <x:c r="J205" s="20" t="str">
        <x:v>87B3 [TGH 2]</x:v>
      </x:c>
      <x:c r="K205" s="20" t="str"/>
      <x:c r="L205" s="20" t="str">
        <x:v>U+30CC7</x:v>
      </x:c>
      <x:c r="M205" s="20" t="str">
        <x:v>CJK Unified Ideographs Extension G</x:v>
      </x:c>
      <x:c r="N205" s="20" t="str">
        <x:v>Encoded now — Extension G</x:v>
      </x:c>
      <x:c r="O205" s="20" t="str">
        <x:v>Low</x:v>
      </x:c>
      <x:c r="P205" s="20" t="str">
        <x:v>Structured</x:v>
      </x:c>
      <x:c r="Q205" s="20" t="str">
        <x:v>1.2.014-01 | 30CC7 / (⿰虫坣) | 𰳇𰳇 | 螳 |  | 87B3 [TGH 2] | </x:v>
      </x:c>
      <x:c r="R205" s="20" t="str">
        <x:v>Uploaded: n2924-SecondStageSimplificationStatusv3.pdf</x:v>
      </x:c>
    </x:row>
    <x:row r="206">
      <x:c r="A206" s="20" t="str">
        <x:v>1.2.015</x:v>
      </x:c>
      <x:c r="B206" s="20" t="n">
        <x:v>31</x:v>
      </x:c>
      <x:c r="C206" s="20" t="str">
        <x:v>Part One</x:v>
      </x:c>
      <x:c r="D206" s="20" t="str">
        <x:v>1.2</x:v>
      </x:c>
      <x:c r="E206" s="20" t="str">
        <x:v>Part One — Generic Simplifications / Derived Forms</x:v>
      </x:c>
      <x:c r="F206" s="20" t="str">
        <x:v>200D3
[UNUSED]</x:v>
      </x:c>
      <x:c r="G206" s="20" t="str">
        <x:v>𠃓𠃓</x:v>
      </x:c>
      <x:c r="H206" s="20" t="str">
        <x:v>易</x:v>
      </x:c>
      <x:c r="I206" s="20" t="str"/>
      <x:c r="J206" s="20" t="str">
        <x:v>6613 [TGH 1]</x:v>
      </x:c>
      <x:c r="K206" s="20" t="str"/>
      <x:c r="L206" s="20" t="str">
        <x:v>U+200D3</x:v>
      </x:c>
      <x:c r="M206" s="20" t="str">
        <x:v>CJK Unified Ideographs Extension B</x:v>
      </x:c>
      <x:c r="N206" s="20" t="str">
        <x:v>Unicode code point recorded</x:v>
      </x:c>
      <x:c r="O206" s="20" t="str">
        <x:v>Low</x:v>
      </x:c>
      <x:c r="P206" s="20" t="str">
        <x:v>Structured</x:v>
      </x:c>
      <x:c r="Q206" s="20" t="str">
        <x:v>1.2.015 | 200D3 / [UNUSED] | 𠃓𠃓 | 易 |  | 6613 [TGH 1] | </x:v>
      </x:c>
      <x:c r="R206" s="20" t="str">
        <x:v>Uploaded: n2924-SecondStageSimplificationStatusv3.pdf</x:v>
      </x:c>
    </x:row>
    <x:row r="207">
      <x:c r="A207" s="20" t="str">
        <x:v>1.2.015-01</x:v>
      </x:c>
      <x:c r="B207" s="20" t="n">
        <x:v>31</x:v>
      </x:c>
      <x:c r="C207" s="20" t="str">
        <x:v>Part One</x:v>
      </x:c>
      <x:c r="D207" s="20" t="str">
        <x:v>1.2</x:v>
      </x:c>
      <x:c r="E207" s="20" t="str">
        <x:v>Part One — Generic Simplifications / Derived Forms</x:v>
      </x:c>
      <x:c r="F207" s="20" t="str">
        <x:v>3011D
(⿰𠃓𠃓刂)</x:v>
      </x:c>
      <x:c r="G207" s="20" t="str">
        <x:v>𰄝𰄝</x:v>
      </x:c>
      <x:c r="H207" s="20" t="str">
        <x:v>剔</x:v>
      </x:c>
      <x:c r="I207" s="20" t="str"/>
      <x:c r="J207" s="20" t="str">
        <x:v>5254 [TGH 1]</x:v>
      </x:c>
      <x:c r="K207" s="20" t="str"/>
      <x:c r="L207" s="20" t="str">
        <x:v>U+3011D</x:v>
      </x:c>
      <x:c r="M207" s="20" t="str">
        <x:v>CJK Unified Ideographs Extension G</x:v>
      </x:c>
      <x:c r="N207" s="20" t="str">
        <x:v>Encoded now — Extension G</x:v>
      </x:c>
      <x:c r="O207" s="20" t="str">
        <x:v>Low</x:v>
      </x:c>
      <x:c r="P207" s="20" t="str">
        <x:v>Structured</x:v>
      </x:c>
      <x:c r="Q207" s="20" t="str">
        <x:v>1.2.015-01 | 3011D / (⿰𠃓𠃓刂) | 𰄝𰄝 | 剔 |  | 5254 [TGH 1] | </x:v>
      </x:c>
      <x:c r="R207" s="20" t="str">
        <x:v>Uploaded: n2924-SecondStageSimplificationStatusv3.pdf</x:v>
      </x:c>
    </x:row>
    <x:row r="208">
      <x:c r="A208" s="20" t="str">
        <x:v>1.2.015-02</x:v>
      </x:c>
      <x:c r="B208" s="20" t="n">
        <x:v>31</x:v>
      </x:c>
      <x:c r="C208" s="20" t="str">
        <x:v>Part One</x:v>
      </x:c>
      <x:c r="D208" s="20" t="str">
        <x:v>1.2</x:v>
      </x:c>
      <x:c r="E208" s="20" t="str">
        <x:v>Part One — Generic Simplifications / Derived Forms</x:v>
      </x:c>
      <x:c r="F208" s="20" t="str">
        <x:v>3043F
(⿰忄𠃓𠃓)</x:v>
      </x:c>
      <x:c r="G208" s="20" t="str">
        <x:v>𰐿𰐿</x:v>
      </x:c>
      <x:c r="H208" s="20" t="str">
        <x:v>惕</x:v>
      </x:c>
      <x:c r="I208" s="20" t="str"/>
      <x:c r="J208" s="20" t="str">
        <x:v>60D5 [TGH 1]</x:v>
      </x:c>
      <x:c r="K208" s="20" t="str"/>
      <x:c r="L208" s="20" t="str">
        <x:v>U+3043F</x:v>
      </x:c>
      <x:c r="M208" s="20" t="str">
        <x:v>CJK Unified Ideographs Extension G</x:v>
      </x:c>
      <x:c r="N208" s="20" t="str">
        <x:v>Encoded now — Extension G</x:v>
      </x:c>
      <x:c r="O208" s="20" t="str">
        <x:v>Low</x:v>
      </x:c>
      <x:c r="P208" s="20" t="str">
        <x:v>Structured</x:v>
      </x:c>
      <x:c r="Q208" s="20" t="str">
        <x:v>1.2.015-02 | 3043F / (⿰忄𠃓𠃓) | 𰐿𰐿 | 惕 |  | 60D5 [TGH 1] | </x:v>
      </x:c>
      <x:c r="R208" s="20" t="str">
        <x:v>Uploaded: n2924-SecondStageSimplificationStatusv3.pdf</x:v>
      </x:c>
    </x:row>
    <x:row r="209">
      <x:c r="A209" s="20" t="str">
        <x:v>1.2.015-03</x:v>
      </x:c>
      <x:c r="B209" s="20" t="n">
        <x:v>31</x:v>
      </x:c>
      <x:c r="C209" s="20" t="str">
        <x:v>Part One</x:v>
      </x:c>
      <x:c r="D209" s="20" t="str">
        <x:v>1.2</x:v>
      </x:c>
      <x:c r="E209" s="20" t="str">
        <x:v>Part One — Generic Simplifications / Derived Forms</x:v>
      </x:c>
      <x:c r="F209" s="20" t="str">
        <x:v>30DDF
(⿰贝𠃓𠃓)</x:v>
      </x:c>
      <x:c r="G209" s="20" t="str">
        <x:v>𰷟𰷟</x:v>
      </x:c>
      <x:c r="H209" s="20" t="str">
        <x:v>赐</x:v>
      </x:c>
      <x:c r="I209" s="20" t="str"/>
      <x:c r="J209" s="20" t="str">
        <x:v>8D50 [TGH 1]</x:v>
      </x:c>
      <x:c r="K209" s="20" t="str"/>
      <x:c r="L209" s="20" t="str">
        <x:v>U+30DDF</x:v>
      </x:c>
      <x:c r="M209" s="20" t="str">
        <x:v>CJK Unified Ideographs Extension G</x:v>
      </x:c>
      <x:c r="N209" s="20" t="str">
        <x:v>Encoded now — Extension G</x:v>
      </x:c>
      <x:c r="O209" s="20" t="str">
        <x:v>Low</x:v>
      </x:c>
      <x:c r="P209" s="20" t="str">
        <x:v>Structured</x:v>
      </x:c>
      <x:c r="Q209" s="20" t="str">
        <x:v>1.2.015-03 | 30DDF / (⿰贝𠃓𠃓) | 𰷟𰷟 | 赐 |  | 8D50 [TGH 1] | </x:v>
      </x:c>
      <x:c r="R209" s="20" t="str">
        <x:v>Uploaded: n2924-SecondStageSimplificationStatusv3.pdf</x:v>
      </x:c>
    </x:row>
    <x:row r="210">
      <x:c r="A210" s="20" t="str">
        <x:v>1.2.015-04</x:v>
      </x:c>
      <x:c r="B210" s="20" t="n">
        <x:v>31</x:v>
      </x:c>
      <x:c r="C210" s="20" t="str">
        <x:v>Part One</x:v>
      </x:c>
      <x:c r="D210" s="20" t="str">
        <x:v>1.2</x:v>
      </x:c>
      <x:c r="E210" s="20" t="str">
        <x:v>Part One — Generic Simplifications / Derived Forms</x:v>
      </x:c>
      <x:c r="F210" s="20" t="str">
        <x:v>9496 [TGH
3]</x:v>
      </x:c>
      <x:c r="G210" s="20" t="str">
        <x:v>钖</x:v>
      </x:c>
      <x:c r="H210" s="20" t="str">
        <x:v>锡</x:v>
      </x:c>
      <x:c r="I210" s="20" t="str"/>
      <x:c r="J210" s="20" t="str">
        <x:v>9521 [TGH 1]</x:v>
      </x:c>
      <x:c r="K210" s="20" t="str"/>
      <x:c r="L210" s="20" t="str">
        <x:v>U+9496</x:v>
      </x:c>
      <x:c r="M210" s="20" t="str">
        <x:v>CJK Unified Ideographs</x:v>
      </x:c>
      <x:c r="N210" s="20" t="str">
        <x:v>Unicode code point recorded</x:v>
      </x:c>
      <x:c r="O210" s="20" t="str">
        <x:v>Low</x:v>
      </x:c>
      <x:c r="P210" s="20" t="str">
        <x:v>Structured</x:v>
      </x:c>
      <x:c r="Q210" s="20" t="str">
        <x:v>1.2.015-04 | 9496 [TGH / 3] | 钖 | 锡 |  | 9521 [TGH 1] | </x:v>
      </x:c>
      <x:c r="R210" s="20" t="str">
        <x:v>Uploaded: n2924-SecondStageSimplificationStatusv3.pdf</x:v>
      </x:c>
    </x:row>
    <x:row r="211">
      <x:c r="A211" s="20" t="str">
        <x:v>1.2.015-05</x:v>
      </x:c>
      <x:c r="B211" s="20" t="n">
        <x:v>31</x:v>
      </x:c>
      <x:c r="C211" s="20" t="str">
        <x:v>Part One</x:v>
      </x:c>
      <x:c r="D211" s="20" t="str">
        <x:v>1.2</x:v>
      </x:c>
      <x:c r="E211" s="20" t="str">
        <x:v>Part One — Generic Simplifications / Derived Forms</x:v>
      </x:c>
      <x:c r="F211" s="20" t="str">
        <x:v>30E04
(⿰𧾷𧾷𠃓𠃓)</x:v>
      </x:c>
      <x:c r="G211" s="20" t="str">
        <x:v>𰸄𰸄</x:v>
      </x:c>
      <x:c r="H211" s="20" t="str">
        <x:v>踢</x:v>
      </x:c>
      <x:c r="I211" s="20" t="str"/>
      <x:c r="J211" s="20" t="str">
        <x:v>8E22 [TGH 1]</x:v>
      </x:c>
      <x:c r="K211" s="20" t="str"/>
      <x:c r="L211" s="20" t="str">
        <x:v>U+30E04</x:v>
      </x:c>
      <x:c r="M211" s="20" t="str">
        <x:v>CJK Unified Ideographs Extension G</x:v>
      </x:c>
      <x:c r="N211" s="20" t="str">
        <x:v>Encoded now — Extension G</x:v>
      </x:c>
      <x:c r="O211" s="20" t="str">
        <x:v>Low</x:v>
      </x:c>
      <x:c r="P211" s="20" t="str">
        <x:v>Structured</x:v>
      </x:c>
      <x:c r="Q211" s="20" t="str">
        <x:v>1.2.015-05 | 30E04 / (⿰𧾷𧾷𠃓𠃓) | 𰸄𰸄 | 踢 |  | 8E22 [TGH 1] | </x:v>
      </x:c>
      <x:c r="R211" s="20" t="str">
        <x:v>Uploaded: n2924-SecondStageSimplificationStatusv3.pdf</x:v>
      </x:c>
    </x:row>
    <x:row r="212">
      <x:c r="A212" s="20" t="str">
        <x:v>1.2.016</x:v>
      </x:c>
      <x:c r="B212" s="20" t="n">
        <x:v>31</x:v>
      </x:c>
      <x:c r="C212" s="20" t="str">
        <x:v>Part One</x:v>
      </x:c>
      <x:c r="D212" s="20" t="str">
        <x:v>1.2</x:v>
      </x:c>
      <x:c r="E212" s="20" t="str">
        <x:v>Part One — Generic Simplifications / Derived Forms</x:v>
      </x:c>
      <x:c r="F212" s="20" t="str">
        <x:v>302F7
(⿱𭕄𭕄女)</x:v>
      </x:c>
      <x:c r="G212" s="20" t="str">
        <x:v>𰋷𰋷</x:v>
      </x:c>
      <x:c r="H212" s="20" t="str">
        <x:v>婴</x:v>
      </x:c>
      <x:c r="I212" s="20" t="str"/>
      <x:c r="J212" s="20" t="str">
        <x:v>5A74 [TGH 1]</x:v>
      </x:c>
      <x:c r="K212" s="20" t="str"/>
      <x:c r="L212" s="20" t="str">
        <x:v>U+302F7</x:v>
      </x:c>
      <x:c r="M212" s="20" t="str">
        <x:v>CJK Unified Ideographs Extension G</x:v>
      </x:c>
      <x:c r="N212" s="20" t="str">
        <x:v>Encoded now — Extension G</x:v>
      </x:c>
      <x:c r="O212" s="20" t="str">
        <x:v>Low</x:v>
      </x:c>
      <x:c r="P212" s="20" t="str">
        <x:v>Structured</x:v>
      </x:c>
      <x:c r="Q212" s="20" t="str">
        <x:v>1.2.016 | 302F7 / (⿱𭕄𭕄女) | 𰋷𰋷 | 婴 |  | 5A74 [TGH 1] | </x:v>
      </x:c>
      <x:c r="R212" s="20" t="str">
        <x:v>Uploaded: n2924-SecondStageSimplificationStatusv3.pdf</x:v>
      </x:c>
    </x:row>
    <x:row r="213">
      <x:c r="A213" s="20" t="str">
        <x:v>1.2.016-01</x:v>
      </x:c>
      <x:c r="B213" s="20" t="n">
        <x:v>32</x:v>
      </x:c>
      <x:c r="C213" s="20" t="str">
        <x:v>Part One</x:v>
      </x:c>
      <x:c r="D213" s="20" t="str">
        <x:v>1.2</x:v>
      </x:c>
      <x:c r="E213" s="20" t="str">
        <x:v>Part One — Generic Simplifications / Derived Forms</x:v>
      </x:c>
      <x:c r="F213" s="20" t="str">
        <x:v>30B15
(⿰纟𰋷𰋷)</x:v>
      </x:c>
      <x:c r="G213" s="20" t="str">
        <x:v>𰬕𰬕</x:v>
      </x:c>
      <x:c r="H213" s="20" t="str">
        <x:v>缨</x:v>
      </x:c>
      <x:c r="I213" s="20" t="str"/>
      <x:c r="J213" s="20" t="str">
        <x:v>7F28 [TGH 2]</x:v>
      </x:c>
      <x:c r="K213" s="20" t="str"/>
      <x:c r="L213" s="20" t="str">
        <x:v>U+30B15</x:v>
      </x:c>
      <x:c r="M213" s="20" t="str">
        <x:v>CJK Unified Ideographs Extension G</x:v>
      </x:c>
      <x:c r="N213" s="20" t="str">
        <x:v>Encoded now — Extension G</x:v>
      </x:c>
      <x:c r="O213" s="20" t="str">
        <x:v>Low</x:v>
      </x:c>
      <x:c r="P213" s="20" t="str">
        <x:v>Structured</x:v>
      </x:c>
      <x:c r="Q213" s="20" t="str">
        <x:v>1.2.016-01 | 30B15 / (⿰纟𰋷𰋷) | 𰬕𰬕 | 缨 |  | 7F28 [TGH 2] | </x:v>
      </x:c>
      <x:c r="R213" s="20" t="str">
        <x:v>Uploaded: n2924-SecondStageSimplificationStatusv3.pdf</x:v>
      </x:c>
    </x:row>
    <x:row r="214">
      <x:c r="A214" s="20" t="str">
        <x:v>1.2.016-02</x:v>
      </x:c>
      <x:c r="B214" s="20" t="n">
        <x:v>31</x:v>
      </x:c>
      <x:c r="C214" s="20" t="str">
        <x:v>Part One</x:v>
      </x:c>
      <x:c r="D214" s="20" t="str">
        <x:v>1.2</x:v>
      </x:c>
      <x:c r="E214" s="20" t="str">
        <x:v>Part One — Generic Simplifications / Derived Forms</x:v>
      </x:c>
      <x:c r="F214" s="20" t="str">
        <x:v>685C
[UNUSED J]</x:v>
      </x:c>
      <x:c r="G214" s="20" t="str">
        <x:v>桜</x:v>
      </x:c>
      <x:c r="H214" s="20" t="str">
        <x:v>樱</x:v>
      </x:c>
      <x:c r="I214" s="20" t="str"/>
      <x:c r="J214" s="20" t="str">
        <x:v>6A31 [TGH 1]</x:v>
      </x:c>
      <x:c r="K214" s="20" t="str"/>
      <x:c r="L214" s="20" t="str">
        <x:v>U+685C</x:v>
      </x:c>
      <x:c r="M214" s="20" t="str">
        <x:v>CJK Unified Ideographs</x:v>
      </x:c>
      <x:c r="N214" s="20" t="str">
        <x:v>Unicode code point recorded</x:v>
      </x:c>
      <x:c r="O214" s="20" t="str">
        <x:v>Low</x:v>
      </x:c>
      <x:c r="P214" s="20" t="str">
        <x:v>Structured</x:v>
      </x:c>
      <x:c r="Q214" s="20" t="str">
        <x:v>1.2.016-02 | 685C / [UNUSED J] | 桜 | 樱 |  | 6A31 [TGH 1] | </x:v>
      </x:c>
      <x:c r="R214" s="20" t="str">
        <x:v>Uploaded: n2924-SecondStageSimplificationStatusv3.pdf</x:v>
      </x:c>
    </x:row>
    <x:row r="215">
      <x:c r="A215" s="20" t="str">
        <x:v>1.2.017</x:v>
      </x:c>
      <x:c r="B215" s="20" t="n">
        <x:v>32</x:v>
      </x:c>
      <x:c r="C215" s="20" t="str">
        <x:v>Part One</x:v>
      </x:c>
      <x:c r="D215" s="20" t="str">
        <x:v>1.2</x:v>
      </x:c>
      <x:c r="E215" s="20" t="str">
        <x:v>Part One — Generic Simplifications / Derived Forms</x:v>
      </x:c>
      <x:c r="F215" s="20" t="str">
        <x:v>30370
(⿸尸一)</x:v>
      </x:c>
      <x:c r="G215" s="20" t="str">
        <x:v>𰍰𰍰</x:v>
      </x:c>
      <x:c r="H215" s="20" t="str">
        <x:v>展辗</x:v>
      </x:c>
      <x:c r="I215" s="20" t="str"/>
      <x:c r="J215" s="20" t="str">
        <x:v>5C55 [TGH 1]
8F97 [TGH 1]</x:v>
      </x:c>
      <x:c r="K215" s="20" t="str"/>
      <x:c r="L215" s="20" t="str">
        <x:v>U+30370</x:v>
      </x:c>
      <x:c r="M215" s="20" t="str">
        <x:v>CJK Unified Ideographs Extension G</x:v>
      </x:c>
      <x:c r="N215" s="20" t="str">
        <x:v>Encoded now — Extension G</x:v>
      </x:c>
      <x:c r="O215" s="20" t="str">
        <x:v>Low</x:v>
      </x:c>
      <x:c r="P215" s="20" t="str">
        <x:v>Structured</x:v>
      </x:c>
      <x:c r="Q215" s="20" t="str">
        <x:v>1.2.017 | 30370 / (⿸尸一) | 𰍰𰍰 | 展辗 |  | 5C55 [TGH 1] / 8F97 [TGH 1] | </x:v>
      </x:c>
      <x:c r="R215" s="20" t="str">
        <x:v>Uploaded: n2924-SecondStageSimplificationStatusv3.pdf</x:v>
      </x:c>
    </x:row>
    <x:row r="216">
      <x:c r="A216" s="20" t="str">
        <x:v>1.2.017-01</x:v>
      </x:c>
      <x:c r="B216" s="20" t="n">
        <x:v>32</x:v>
      </x:c>
      <x:c r="C216" s="20" t="str">
        <x:v>Part One</x:v>
      </x:c>
      <x:c r="D216" s="20" t="str">
        <x:v>1.2</x:v>
      </x:c>
      <x:c r="E216" s="20" t="str">
        <x:v>Part One — Generic Simplifications / Derived Forms</x:v>
      </x:c>
      <x:c r="F216" s="20" t="str">
        <x:v>309AA
(⿰石𰍰𰍰)</x:v>
      </x:c>
      <x:c r="G216" s="20" t="str">
        <x:v>𰦪𰦪</x:v>
      </x:c>
      <x:c r="H216" s="20" t="str">
        <x:v>碾</x:v>
      </x:c>
      <x:c r="I216" s="20" t="str"/>
      <x:c r="J216" s="20" t="str">
        <x:v>78BE [TGH 1]</x:v>
      </x:c>
      <x:c r="K216" s="20" t="str"/>
      <x:c r="L216" s="20" t="str">
        <x:v>U+309AA</x:v>
      </x:c>
      <x:c r="M216" s="20" t="str">
        <x:v>CJK Unified Ideographs Extension G</x:v>
      </x:c>
      <x:c r="N216" s="20" t="str">
        <x:v>Encoded now — Extension G</x:v>
      </x:c>
      <x:c r="O216" s="20" t="str">
        <x:v>Low</x:v>
      </x:c>
      <x:c r="P216" s="20" t="str">
        <x:v>Structured</x:v>
      </x:c>
      <x:c r="Q216" s="20" t="str">
        <x:v>1.2.017-01 | 309AA / (⿰石𰍰𰍰) | 𰦪𰦪 | 碾 |  | 78BE [TGH 1] | </x:v>
      </x:c>
      <x:c r="R216" s="20" t="str">
        <x:v>Uploaded: n2924-SecondStageSimplificationStatusv3.pdf</x:v>
      </x:c>
    </x:row>
    <x:row r="217">
      <x:c r="A217" s="20" t="str">
        <x:v>1.2.018</x:v>
      </x:c>
      <x:c r="B217" s="20" t="n">
        <x:v>32</x:v>
      </x:c>
      <x:c r="C217" s="20" t="str">
        <x:v>Part One</x:v>
      </x:c>
      <x:c r="D217" s="20" t="str">
        <x:v>1.2</x:v>
      </x:c>
      <x:c r="E217" s="20" t="str">
        <x:v>Part One — Generic Simplifications / Derived Forms</x:v>
      </x:c>
      <x:c r="F217" s="20" t="str">
        <x:v>30174
(⿱十𰋙𰋙)</x:v>
      </x:c>
      <x:c r="G217" s="20" t="str">
        <x:v>𰅴𰅴</x:v>
      </x:c>
      <x:c r="H217" s="20" t="str">
        <x:v>真</x:v>
      </x:c>
      <x:c r="I217" s="20" t="str"/>
      <x:c r="J217" s="20" t="str">
        <x:v>771F [TGH 1]</x:v>
      </x:c>
      <x:c r="K217" s="20" t="str"/>
      <x:c r="L217" s="20" t="str">
        <x:v>U+30174</x:v>
      </x:c>
      <x:c r="M217" s="20" t="str">
        <x:v>CJK Unified Ideographs Extension G</x:v>
      </x:c>
      <x:c r="N217" s="20" t="str">
        <x:v>Encoded now — Extension G</x:v>
      </x:c>
      <x:c r="O217" s="20" t="str">
        <x:v>Low</x:v>
      </x:c>
      <x:c r="P217" s="20" t="str">
        <x:v>Structured</x:v>
      </x:c>
      <x:c r="Q217" s="20" t="str">
        <x:v>1.2.018 | 30174 / (⿱十𰋙𰋙) | 𰅴𰅴 | 真 |  | 771F [TGH 1] | </x:v>
      </x:c>
      <x:c r="R217" s="20" t="str">
        <x:v>Uploaded: n2924-SecondStageSimplificationStatusv3.pdf</x:v>
      </x:c>
    </x:row>
    <x:row r="218">
      <x:c r="A218" s="20" t="str">
        <x:v>1.2.018-01</x:v>
      </x:c>
      <x:c r="B218" s="20" t="n">
        <x:v>32</x:v>
      </x:c>
      <x:c r="C218" s="20" t="str">
        <x:v>Part One</x:v>
      </x:c>
      <x:c r="D218" s="20" t="str">
        <x:v>1.2</x:v>
      </x:c>
      <x:c r="E218" s="20" t="str">
        <x:v>Part One — Generic Simplifications / Derived Forms</x:v>
      </x:c>
      <x:c r="F218" s="20" t="str">
        <x:v>30270
(⿰土𰅴𰅴)</x:v>
      </x:c>
      <x:c r="G218" s="20" t="str">
        <x:v>𰉰𰉰</x:v>
      </x:c>
      <x:c r="H218" s="20" t="str">
        <x:v>填</x:v>
      </x:c>
      <x:c r="I218" s="20" t="str"/>
      <x:c r="J218" s="20" t="str">
        <x:v>586B [TGH 1]</x:v>
      </x:c>
      <x:c r="K218" s="20" t="str"/>
      <x:c r="L218" s="20" t="str">
        <x:v>U+30270</x:v>
      </x:c>
      <x:c r="M218" s="20" t="str">
        <x:v>CJK Unified Ideographs Extension G</x:v>
      </x:c>
      <x:c r="N218" s="20" t="str">
        <x:v>Encoded now — Extension G</x:v>
      </x:c>
      <x:c r="O218" s="20" t="str">
        <x:v>Low</x:v>
      </x:c>
      <x:c r="P218" s="20" t="str">
        <x:v>Structured</x:v>
      </x:c>
      <x:c r="Q218" s="20" t="str">
        <x:v>1.2.018-01 | 30270 / (⿰土𰅴𰅴) | 𰉰𰉰 | 填 |  | 586B [TGH 1] | </x:v>
      </x:c>
      <x:c r="R218" s="20" t="str">
        <x:v>Uploaded: n2924-SecondStageSimplificationStatusv3.pdf</x:v>
      </x:c>
    </x:row>
    <x:row r="219">
      <x:c r="A219" s="20" t="str">
        <x:v>1.2.018-02</x:v>
      </x:c>
      <x:c r="B219" s="20" t="n">
        <x:v>32</x:v>
      </x:c>
      <x:c r="C219" s="20" t="str">
        <x:v>Part One</x:v>
      </x:c>
      <x:c r="D219" s="20" t="str">
        <x:v>1.2</x:v>
      </x:c>
      <x:c r="E219" s="20" t="str">
        <x:v>Part One — Generic Simplifications / Derived Forms</x:v>
      </x:c>
      <x:c r="F219" s="20" t="str">
        <x:v>3045D
(⿰忄𰅴𰅴)</x:v>
      </x:c>
      <x:c r="G219" s="20" t="str">
        <x:v>𰑝𰑝</x:v>
      </x:c>
      <x:c r="H219" s="20" t="str">
        <x:v>慎</x:v>
      </x:c>
      <x:c r="I219" s="20" t="str"/>
      <x:c r="J219" s="20" t="str">
        <x:v>614E [TGH 1]</x:v>
      </x:c>
      <x:c r="K219" s="20" t="str"/>
      <x:c r="L219" s="20" t="str">
        <x:v>U+3045D</x:v>
      </x:c>
      <x:c r="M219" s="20" t="str">
        <x:v>CJK Unified Ideographs Extension G</x:v>
      </x:c>
      <x:c r="N219" s="20" t="str">
        <x:v>Encoded now — Extension G</x:v>
      </x:c>
      <x:c r="O219" s="20" t="str">
        <x:v>Low</x:v>
      </x:c>
      <x:c r="P219" s="20" t="str">
        <x:v>Structured</x:v>
      </x:c>
      <x:c r="Q219" s="20" t="str">
        <x:v>1.2.018-02 | 3045D / (⿰忄𰅴𰅴) | 𰑝𰑝 | 慎 |  | 614E [TGH 1] | </x:v>
      </x:c>
      <x:c r="R219" s="20" t="str">
        <x:v>Uploaded: n2924-SecondStageSimplificationStatusv3.pdf</x:v>
      </x:c>
    </x:row>
    <x:row r="220">
      <x:c r="A220" s="20" t="str">
        <x:v>1.2.018-03</x:v>
      </x:c>
      <x:c r="B220" s="20" t="n">
        <x:v>32</x:v>
      </x:c>
      <x:c r="C220" s="20" t="str">
        <x:v>Part One</x:v>
      </x:c>
      <x:c r="D220" s="20" t="str">
        <x:v>1.2</x:v>
      </x:c>
      <x:c r="E220" s="20" t="str">
        <x:v>Part One — Generic Simplifications / Derived Forms</x:v>
      </x:c>
      <x:c r="F220" s="20" t="str">
        <x:v>306EC
(⿰氵𰅴𰅴)</x:v>
      </x:c>
      <x:c r="G220" s="20" t="str">
        <x:v>𰛬𰛬</x:v>
      </x:c>
      <x:c r="H220" s="20" t="str">
        <x:v>滇</x:v>
      </x:c>
      <x:c r="I220" s="20" t="str"/>
      <x:c r="J220" s="20" t="str">
        <x:v>6EC7 [TGH 1]</x:v>
      </x:c>
      <x:c r="K220" s="20" t="str"/>
      <x:c r="L220" s="20" t="str">
        <x:v>U+306EC</x:v>
      </x:c>
      <x:c r="M220" s="20" t="str">
        <x:v>CJK Unified Ideographs Extension G</x:v>
      </x:c>
      <x:c r="N220" s="20" t="str">
        <x:v>Encoded now — Extension G</x:v>
      </x:c>
      <x:c r="O220" s="20" t="str">
        <x:v>Low</x:v>
      </x:c>
      <x:c r="P220" s="20" t="str">
        <x:v>Structured</x:v>
      </x:c>
      <x:c r="Q220" s="20" t="str">
        <x:v>1.2.018-03 | 306EC / (⿰氵𰅴𰅴) | 𰛬𰛬 | 滇 |  | 6EC7 [TGH 1] | </x:v>
      </x:c>
      <x:c r="R220" s="20" t="str">
        <x:v>Uploaded: n2924-SecondStageSimplificationStatusv3.pdf</x:v>
      </x:c>
    </x:row>
    <x:row r="221">
      <x:c r="A221" s="20" t="str">
        <x:v>1.2.018-04</x:v>
      </x:c>
      <x:c r="B221" s="20" t="n">
        <x:v>33</x:v>
      </x:c>
      <x:c r="C221" s="20" t="str">
        <x:v>Part One</x:v>
      </x:c>
      <x:c r="D221" s="20" t="str">
        <x:v>1.2</x:v>
      </x:c>
      <x:c r="E221" s="20" t="str">
        <x:v>Part One — Generic Simplifications / Derived Forms</x:v>
      </x:c>
      <x:c r="F221" s="20" t="str">
        <x:v>30F82
(⿰钅𰅴𰅴)</x:v>
      </x:c>
      <x:c r="G221" s="20" t="str">
        <x:v>𰾂𰾂</x:v>
      </x:c>
      <x:c r="H221" s="20" t="str">
        <x:v>镇</x:v>
      </x:c>
      <x:c r="I221" s="20" t="str"/>
      <x:c r="J221" s="20" t="str">
        <x:v>9547 [TGH 1]</x:v>
      </x:c>
      <x:c r="K221" s="20" t="str"/>
      <x:c r="L221" s="20" t="str">
        <x:v>U+30F82</x:v>
      </x:c>
      <x:c r="M221" s="20" t="str">
        <x:v>CJK Unified Ideographs Extension G</x:v>
      </x:c>
      <x:c r="N221" s="20" t="str">
        <x:v>Encoded now — Extension G</x:v>
      </x:c>
      <x:c r="O221" s="20" t="str">
        <x:v>Low</x:v>
      </x:c>
      <x:c r="P221" s="20" t="str">
        <x:v>Structured</x:v>
      </x:c>
      <x:c r="Q221" s="20" t="str">
        <x:v>1.2.018-04 | 30F82 / (⿰钅𰅴𰅴) | 𰾂𰾂 | 镇 |  | 9547 [TGH 1] | </x:v>
      </x:c>
      <x:c r="R221" s="20" t="str">
        <x:v>Uploaded: n2924-SecondStageSimplificationStatusv3.pdf</x:v>
      </x:c>
    </x:row>
    <x:row r="222">
      <x:c r="A222" s="20" t="str">
        <x:v>1.2.018-05</x:v>
      </x:c>
      <x:c r="B222" s="20" t="n">
        <x:v>33</x:v>
      </x:c>
      <x:c r="C222" s="20" t="str">
        <x:v>Part One</x:v>
      </x:c>
      <x:c r="D222" s="20" t="str">
        <x:v>1.2</x:v>
      </x:c>
      <x:c r="E222" s="20" t="str">
        <x:v>Part One — Generic Simplifications / Derived Forms</x:v>
      </x:c>
      <x:c r="F222" s="20" t="str">
        <x:v>310AA
(⿰𰅴𰅴页)</x:v>
      </x:c>
      <x:c r="G222" s="20" t="str">
        <x:v>𱂪𱂪</x:v>
      </x:c>
      <x:c r="H222" s="20" t="str">
        <x:v>颠</x:v>
      </x:c>
      <x:c r="I222" s="20" t="str"/>
      <x:c r="J222" s="20" t="str">
        <x:v>98A0 [TGH 1]</x:v>
      </x:c>
      <x:c r="K222" s="20" t="str"/>
      <x:c r="L222" s="20" t="str">
        <x:v>U+310AA</x:v>
      </x:c>
      <x:c r="M222" s="20" t="str">
        <x:v>CJK Unified Ideographs Extension G</x:v>
      </x:c>
      <x:c r="N222" s="20" t="str">
        <x:v>Encoded now — Extension G</x:v>
      </x:c>
      <x:c r="O222" s="20" t="str">
        <x:v>Low</x:v>
      </x:c>
      <x:c r="P222" s="20" t="str">
        <x:v>Structured</x:v>
      </x:c>
      <x:c r="Q222" s="20" t="str">
        <x:v>1.2.018-05 | 310AA / (⿰𰅴𰅴页) | 𱂪𱂪 | 颠 |  | 98A0 [TGH 1] | </x:v>
      </x:c>
      <x:c r="R222" s="20" t="str">
        <x:v>Uploaded: n2924-SecondStageSimplificationStatusv3.pdf</x:v>
      </x:c>
    </x:row>
    <x:row r="223">
      <x:c r="A223" s="20" t="str">
        <x:v>1.2.019</x:v>
      </x:c>
      <x:c r="B223" s="20" t="n">
        <x:v>33</x:v>
      </x:c>
      <x:c r="C223" s="20" t="str">
        <x:v>Part One</x:v>
      </x:c>
      <x:c r="D223" s="20" t="str">
        <x:v>1.2</x:v>
      </x:c>
      <x:c r="E223" s="20" t="str">
        <x:v>Part One — Generic Simplifications / Derived Forms</x:v>
      </x:c>
      <x:c r="F223" s="20" t="str">
        <x:v>3017016
(⿱十⿴𠀃𠀃丨)</x:v>
      </x:c>
      <x:c r="G223" s="20" t="str">
        <x:v>𰅰𰅰</x:v>
      </x:c>
      <x:c r="H223" s="20" t="str">
        <x:v>直</x:v>
      </x:c>
      <x:c r="I223" s="20" t="str"/>
      <x:c r="J223" s="20" t="str">
        <x:v>76F4 [TGH 1]</x:v>
      </x:c>
      <x:c r="K223" s="20" t="str"/>
      <x:c r="L223" s="20" t="str"/>
      <x:c r="M223" s="20" t="str"/>
      <x:c r="N223" s="20" t="str">
        <x:v>IDS / unencoded in 2022 source — review against Unicode 17 / GEJ</x:v>
      </x:c>
      <x:c r="O223" s="20" t="str">
        <x:v>High</x:v>
      </x:c>
      <x:c r="P223" s="20" t="str">
        <x:v>Structured</x:v>
      </x:c>
      <x:c r="Q223" s="20" t="str">
        <x:v>1.2.019 | 3017016 / (⿱十⿴𠀃𠀃丨) | 𰅰𰅰 | 直 |  | 76F4 [TGH 1] | </x:v>
      </x:c>
      <x:c r="R223" s="20" t="str">
        <x:v>Uploaded: n2924-SecondStageSimplificationStatusv3.pdf</x:v>
      </x:c>
    </x:row>
    <x:row r="224">
      <x:c r="A224" s="20" t="str">
        <x:v>1.2.019-01</x:v>
      </x:c>
      <x:c r="B224" s="20" t="n">
        <x:v>33</x:v>
      </x:c>
      <x:c r="C224" s="20" t="str">
        <x:v>Part One</x:v>
      </x:c>
      <x:c r="D224" s="20" t="str">
        <x:v>1.2</x:v>
      </x:c>
      <x:c r="E224" s="20" t="str">
        <x:v>Part One — Generic Simplifications / Derived Forms</x:v>
      </x:c>
      <x:c r="F224" s="20" t="str">
        <x:v>30072
(⿰亻𰅰𰅰)</x:v>
      </x:c>
      <x:c r="G224" s="20" t="str">
        <x:v>𰁲𰁲</x:v>
      </x:c>
      <x:c r="H224" s="20" t="str">
        <x:v>值</x:v>
      </x:c>
      <x:c r="I224" s="20" t="str"/>
      <x:c r="J224" s="20" t="str">
        <x:v>503C [TGH 1]</x:v>
      </x:c>
      <x:c r="K224" s="20" t="str"/>
      <x:c r="L224" s="20" t="str">
        <x:v>U+30072</x:v>
      </x:c>
      <x:c r="M224" s="20" t="str">
        <x:v>CJK Unified Ideographs Extension G</x:v>
      </x:c>
      <x:c r="N224" s="20" t="str">
        <x:v>Encoded now — Extension G</x:v>
      </x:c>
      <x:c r="O224" s="20" t="str">
        <x:v>Low</x:v>
      </x:c>
      <x:c r="P224" s="20" t="str">
        <x:v>Structured</x:v>
      </x:c>
      <x:c r="Q224" s="20" t="str">
        <x:v>1.2.019-01 | 30072 / (⿰亻𰅰𰅰) | 𰁲𰁲 | 值 |  | 503C [TGH 1] | </x:v>
      </x:c>
      <x:c r="R224" s="20" t="str">
        <x:v>Uploaded: n2924-SecondStageSimplificationStatusv3.pdf</x:v>
      </x:c>
    </x:row>
    <x:row r="225">
      <x:c r="A225" s="20" t="str">
        <x:v>1.2.019-02</x:v>
      </x:c>
      <x:c r="B225" s="20" t="n">
        <x:v>33</x:v>
      </x:c>
      <x:c r="C225" s="20" t="str">
        <x:v>Part One</x:v>
      </x:c>
      <x:c r="D225" s="20" t="str">
        <x:v>1.2</x:v>
      </x:c>
      <x:c r="E225" s="20" t="str">
        <x:v>Part One — Generic Simplifications / Derived Forms</x:v>
      </x:c>
      <x:c r="F225" s="20" t="str">
        <x:v>305DD
(⿰木𰅰𰅰)</x:v>
      </x:c>
      <x:c r="G225" s="20" t="str">
        <x:v>𰗝𰗝</x:v>
      </x:c>
      <x:c r="H225" s="20" t="str">
        <x:v>植</x:v>
      </x:c>
      <x:c r="I225" s="20" t="str"/>
      <x:c r="J225" s="20" t="str">
        <x:v>690D [TGH 1]</x:v>
      </x:c>
      <x:c r="K225" s="20" t="str"/>
      <x:c r="L225" s="20" t="str">
        <x:v>U+305DD</x:v>
      </x:c>
      <x:c r="M225" s="20" t="str">
        <x:v>CJK Unified Ideographs Extension G</x:v>
      </x:c>
      <x:c r="N225" s="20" t="str">
        <x:v>Encoded now — Extension G</x:v>
      </x:c>
      <x:c r="O225" s="20" t="str">
        <x:v>Low</x:v>
      </x:c>
      <x:c r="P225" s="20" t="str">
        <x:v>Structured</x:v>
      </x:c>
      <x:c r="Q225" s="20" t="str">
        <x:v>1.2.019-02 | 305DD / (⿰木𰅰𰅰) | 𰗝𰗝 | 植 |  | 690D [TGH 1] | </x:v>
      </x:c>
      <x:c r="R225" s="20" t="str">
        <x:v>Uploaded: n2924-SecondStageSimplificationStatusv3.pdf</x:v>
      </x:c>
    </x:row>
    <x:row r="226">
      <x:c r="A226" s="20" t="str">
        <x:v>1.2.019-03</x:v>
      </x:c>
      <x:c r="B226" s="20" t="n">
        <x:v>33</x:v>
      </x:c>
      <x:c r="C226" s="20" t="str">
        <x:v>Part One</x:v>
      </x:c>
      <x:c r="D226" s="20" t="str">
        <x:v>1.2</x:v>
      </x:c>
      <x:c r="E226" s="20" t="str">
        <x:v>Part One — Generic Simplifications / Derived Forms</x:v>
      </x:c>
      <x:c r="F226" s="20" t="str">
        <x:v>3067D
(⿰歹𰅰𰅰)</x:v>
      </x:c>
      <x:c r="G226" s="20" t="str">
        <x:v>𰙽𰙽</x:v>
      </x:c>
      <x:c r="H226" s="20" t="str">
        <x:v>殖</x:v>
      </x:c>
      <x:c r="I226" s="20" t="str"/>
      <x:c r="J226" s="20" t="str">
        <x:v>6B96 [TGH 1]</x:v>
      </x:c>
      <x:c r="K226" s="20" t="str"/>
      <x:c r="L226" s="20" t="str">
        <x:v>U+3067D</x:v>
      </x:c>
      <x:c r="M226" s="20" t="str">
        <x:v>CJK Unified Ideographs Extension G</x:v>
      </x:c>
      <x:c r="N226" s="20" t="str">
        <x:v>Encoded now — Extension G</x:v>
      </x:c>
      <x:c r="O226" s="20" t="str">
        <x:v>Low</x:v>
      </x:c>
      <x:c r="P226" s="20" t="str">
        <x:v>Structured</x:v>
      </x:c>
      <x:c r="Q226" s="20" t="str">
        <x:v>1.2.019-03 | 3067D / (⿰歹𰅰𰅰) | 𰙽𰙽 | 殖 |  | 6B96 [TGH 1] | </x:v>
      </x:c>
      <x:c r="R226" s="20" t="str">
        <x:v>Uploaded: n2924-SecondStageSimplificationStatusv3.pdf</x:v>
      </x:c>
    </x:row>
    <x:row r="227">
      <x:c r="A227" s="20" t="str">
        <x:v>1.2.019-04</x:v>
      </x:c>
      <x:c r="B227" s="20" t="n">
        <x:v>33</x:v>
      </x:c>
      <x:c r="C227" s="20" t="str">
        <x:v>Part One</x:v>
      </x:c>
      <x:c r="D227" s="20" t="str">
        <x:v>1.2</x:v>
      </x:c>
      <x:c r="E227" s="20" t="str">
        <x:v>Part One — Generic Simplifications / Derived Forms</x:v>
      </x:c>
      <x:c r="F227" s="20" t="str">
        <x:v>30B4B
(⿱罒𰅰𰅰)</x:v>
      </x:c>
      <x:c r="G227" s="20" t="str">
        <x:v>𰭋𰭋</x:v>
      </x:c>
      <x:c r="H227" s="20" t="str">
        <x:v>置</x:v>
      </x:c>
      <x:c r="I227" s="20" t="str"/>
      <x:c r="J227" s="20" t="str">
        <x:v>7F6E [TGH 1]</x:v>
      </x:c>
      <x:c r="K227" s="20" t="str"/>
      <x:c r="L227" s="20" t="str">
        <x:v>U+30B4B</x:v>
      </x:c>
      <x:c r="M227" s="20" t="str">
        <x:v>CJK Unified Ideographs Extension G</x:v>
      </x:c>
      <x:c r="N227" s="20" t="str">
        <x:v>Encoded now — Extension G</x:v>
      </x:c>
      <x:c r="O227" s="20" t="str">
        <x:v>Low</x:v>
      </x:c>
      <x:c r="P227" s="20" t="str">
        <x:v>Structured</x:v>
      </x:c>
      <x:c r="Q227" s="20" t="str">
        <x:v>1.2.019-04 | 30B4B / (⿱罒𰅰𰅰) | 𰭋𰭋 | 置 |  | 7F6E [TGH 1] | </x:v>
      </x:c>
      <x:c r="R227" s="20" t="str">
        <x:v>Uploaded: n2924-SecondStageSimplificationStatusv3.pdf</x:v>
      </x:c>
    </x:row>
    <x:row r="228">
      <x:c r="A228" s="20" t="str">
        <x:v>1.2.020</x:v>
      </x:c>
      <x:c r="B228" s="20" t="n">
        <x:v>34</x:v>
      </x:c>
      <x:c r="C228" s="20" t="str">
        <x:v>Part One</x:v>
      </x:c>
      <x:c r="D228" s="20" t="str">
        <x:v>1.2</x:v>
      </x:c>
      <x:c r="E228" s="20" t="str">
        <x:v>Part One — Generic Simplifications / Derived Forms</x:v>
      </x:c>
      <x:c r="F228" s="20" t="str">
        <x:v>5346
[UNUSED J]</x:v>
      </x:c>
      <x:c r="G228" s="20" t="str">
        <x:v>卆</x:v>
      </x:c>
      <x:c r="H228" s="20" t="str">
        <x:v>卒</x:v>
      </x:c>
      <x:c r="I228" s="20" t="str"/>
      <x:c r="J228" s="20" t="str">
        <x:v>5352 [TGH 1]</x:v>
      </x:c>
      <x:c r="K228" s="20" t="str"/>
      <x:c r="L228" s="20" t="str">
        <x:v>U+5346</x:v>
      </x:c>
      <x:c r="M228" s="20" t="str">
        <x:v>CJK Unified Ideographs</x:v>
      </x:c>
      <x:c r="N228" s="20" t="str">
        <x:v>Unicode code point recorded</x:v>
      </x:c>
      <x:c r="O228" s="20" t="str">
        <x:v>Low</x:v>
      </x:c>
      <x:c r="P228" s="20" t="str">
        <x:v>Structured</x:v>
      </x:c>
      <x:c r="Q228" s="20" t="str">
        <x:v>1.2.020 | 5346 / [UNUSED J] | 卆 | 卒 |  | 5352 [TGH 1] | </x:v>
      </x:c>
      <x:c r="R228" s="20" t="str">
        <x:v>Uploaded: n2924-SecondStageSimplificationStatusv3.pdf</x:v>
      </x:c>
    </x:row>
    <x:row r="229">
      <x:c r="A229" s="20" t="str">
        <x:v>1.2.020-01</x:v>
      </x:c>
      <x:c r="B229" s="20" t="n">
        <x:v>34</x:v>
      </x:c>
      <x:c r="C229" s="20" t="str">
        <x:v>Part One</x:v>
      </x:c>
      <x:c r="D229" s="20" t="str">
        <x:v>1.2</x:v>
      </x:c>
      <x:c r="E229" s="20" t="str">
        <x:v>Part One — Generic Simplifications / Derived Forms</x:v>
      </x:c>
      <x:c r="F229" s="20" t="str">
        <x:v>20BE5
[UNUSED]</x:v>
      </x:c>
      <x:c r="G229" s="20" t="str">
        <x:v>𠯥𠯥</x:v>
      </x:c>
      <x:c r="H229" s="20" t="str">
        <x:v>啐</x:v>
      </x:c>
      <x:c r="I229" s="20" t="str"/>
      <x:c r="J229" s="20" t="str">
        <x:v>5550 [TGH 2]</x:v>
      </x:c>
      <x:c r="K229" s="20" t="str"/>
      <x:c r="L229" s="20" t="str">
        <x:v>U+20BE5</x:v>
      </x:c>
      <x:c r="M229" s="20" t="str">
        <x:v>CJK Unified Ideographs Extension B</x:v>
      </x:c>
      <x:c r="N229" s="20" t="str">
        <x:v>Unicode code point recorded</x:v>
      </x:c>
      <x:c r="O229" s="20" t="str">
        <x:v>Low</x:v>
      </x:c>
      <x:c r="P229" s="20" t="str">
        <x:v>Structured</x:v>
      </x:c>
      <x:c r="Q229" s="20" t="str">
        <x:v>1.2.020-01 | 20BE5 / [UNUSED] | 𠯥𠯥 | 啐 |  | 5550 [TGH 2] | </x:v>
      </x:c>
      <x:c r="R229" s="20" t="str">
        <x:v>Uploaded: n2924-SecondStageSimplificationStatusv3.pdf</x:v>
      </x:c>
    </x:row>
    <x:row r="230">
      <x:c r="A230" s="20" t="str">
        <x:v>1.2.020-02</x:v>
      </x:c>
      <x:c r="B230" s="20" t="n">
        <x:v>34</x:v>
      </x:c>
      <x:c r="C230" s="20" t="str">
        <x:v>Part One</x:v>
      </x:c>
      <x:c r="D230" s="20" t="str">
        <x:v>1.2</x:v>
      </x:c>
      <x:c r="E230" s="20" t="str">
        <x:v>Part One — Generic Simplifications / Derived Forms</x:v>
      </x:c>
      <x:c r="F230" s="20" t="str">
        <x:v>5FF0
[UNUSED J]</x:v>
      </x:c>
      <x:c r="G230" s="20" t="str">
        <x:v>忰</x:v>
      </x:c>
      <x:c r="H230" s="20" t="str">
        <x:v>悴</x:v>
      </x:c>
      <x:c r="I230" s="20" t="str"/>
      <x:c r="J230" s="20" t="str">
        <x:v>60B4 [TGH 1]</x:v>
      </x:c>
      <x:c r="K230" s="20" t="str"/>
      <x:c r="L230" s="20" t="str">
        <x:v>U+5FF0</x:v>
      </x:c>
      <x:c r="M230" s="20" t="str">
        <x:v>CJK Unified Ideographs</x:v>
      </x:c>
      <x:c r="N230" s="20" t="str">
        <x:v>Unicode code point recorded</x:v>
      </x:c>
      <x:c r="O230" s="20" t="str">
        <x:v>Low</x:v>
      </x:c>
      <x:c r="P230" s="20" t="str">
        <x:v>Structured</x:v>
      </x:c>
      <x:c r="Q230" s="20" t="str">
        <x:v>1.2.020-02 | 5FF0 / [UNUSED J] | 忰 | 悴 |  | 60B4 [TGH 1] | </x:v>
      </x:c>
      <x:c r="R230" s="20" t="str">
        <x:v>Uploaded: n2924-SecondStageSimplificationStatusv3.pdf</x:v>
      </x:c>
    </x:row>
    <x:row r="231">
      <x:c r="A231" s="20" t="str">
        <x:v>1.2.020-03</x:v>
      </x:c>
      <x:c r="B231" s="20" t="n">
        <x:v>34</x:v>
      </x:c>
      <x:c r="C231" s="20" t="str">
        <x:v>Part One</x:v>
      </x:c>
      <x:c r="D231" s="20" t="str">
        <x:v>1.2</x:v>
      </x:c>
      <x:c r="E231" s="20" t="str">
        <x:v>Part One — Generic Simplifications / Derived Forms</x:v>
      </x:c>
      <x:c r="F231" s="20" t="str">
        <x:v>7815
[UNUSED J]</x:v>
      </x:c>
      <x:c r="G231" s="20" t="str">
        <x:v>砕</x:v>
      </x:c>
      <x:c r="H231" s="20" t="str">
        <x:v>碎</x:v>
      </x:c>
      <x:c r="I231" s="20" t="str"/>
      <x:c r="J231" s="20" t="str">
        <x:v>788E [TGH 1]</x:v>
      </x:c>
      <x:c r="K231" s="20" t="str"/>
      <x:c r="L231" s="20" t="str">
        <x:v>U+7815</x:v>
      </x:c>
      <x:c r="M231" s="20" t="str">
        <x:v>CJK Unified Ideographs</x:v>
      </x:c>
      <x:c r="N231" s="20" t="str">
        <x:v>Unicode code point recorded</x:v>
      </x:c>
      <x:c r="O231" s="20" t="str">
        <x:v>Low</x:v>
      </x:c>
      <x:c r="P231" s="20" t="str">
        <x:v>Structured</x:v>
      </x:c>
      <x:c r="Q231" s="20" t="str">
        <x:v>1.2.020-03 | 7815 / [UNUSED J] | 砕 | 碎 |  | 788E [TGH 1] | </x:v>
      </x:c>
      <x:c r="R231" s="20" t="str">
        <x:v>Uploaded: n2924-SecondStageSimplificationStatusv3.pdf</x:v>
      </x:c>
    </x:row>
    <x:row r="232">
      <x:c r="A232" s="20" t="str">
        <x:v>1.2.020-04</x:v>
      </x:c>
      <x:c r="B232" s="20" t="n">
        <x:v>34</x:v>
      </x:c>
      <x:c r="C232" s="20" t="str">
        <x:v>Part One</x:v>
      </x:c>
      <x:c r="D232" s="20" t="str">
        <x:v>1.2</x:v>
      </x:c>
      <x:c r="E232" s="20" t="str">
        <x:v>Part One — Generic Simplifications / Derived Forms</x:v>
      </x:c>
      <x:c r="F232" s="20" t="str">
        <x:v>75A9
[UNUSED]</x:v>
      </x:c>
      <x:c r="G232" s="20" t="str">
        <x:v>疩</x:v>
      </x:c>
      <x:c r="H232" s="20" t="str">
        <x:v>瘁</x:v>
      </x:c>
      <x:c r="I232" s="20" t="str"/>
      <x:c r="J232" s="20" t="str">
        <x:v>7601 [TGH 2]</x:v>
      </x:c>
      <x:c r="K232" s="20" t="str"/>
      <x:c r="L232" s="20" t="str">
        <x:v>U+75A9</x:v>
      </x:c>
      <x:c r="M232" s="20" t="str">
        <x:v>CJK Unified Ideographs</x:v>
      </x:c>
      <x:c r="N232" s="20" t="str">
        <x:v>Unicode code point recorded</x:v>
      </x:c>
      <x:c r="O232" s="20" t="str">
        <x:v>Low</x:v>
      </x:c>
      <x:c r="P232" s="20" t="str">
        <x:v>Structured</x:v>
      </x:c>
      <x:c r="Q232" s="20" t="str">
        <x:v>1.2.020-04 | 75A9 / [UNUSED] | 疩 | 瘁 |  | 7601 [TGH 2] | </x:v>
      </x:c>
      <x:c r="R232" s="20" t="str">
        <x:v>Uploaded: n2924-SecondStageSimplificationStatusv3.pdf</x:v>
      </x:c>
    </x:row>
    <x:row r="233">
      <x:c r="A233" s="20" t="str">
        <x:v>1.2.020-05</x:v>
      </x:c>
      <x:c r="B233" s="20" t="n">
        <x:v>34</x:v>
      </x:c>
      <x:c r="C233" s="20" t="str">
        <x:v>Part One</x:v>
      </x:c>
      <x:c r="D233" s="20" t="str">
        <x:v>1.2</x:v>
      </x:c>
      <x:c r="E233" s="20" t="str">
        <x:v>Part One — Generic Simplifications / Derived Forms</x:v>
      </x:c>
      <x:c r="F233" s="20" t="str">
        <x:v>7C8B
[UNUSED J]</x:v>
      </x:c>
      <x:c r="G233" s="20" t="str">
        <x:v>粋</x:v>
      </x:c>
      <x:c r="H233" s="20" t="str">
        <x:v>粹</x:v>
      </x:c>
      <x:c r="I233" s="20" t="str"/>
      <x:c r="J233" s="20" t="str">
        <x:v>7CB9 [TGH 1]</x:v>
      </x:c>
      <x:c r="K233" s="20" t="str"/>
      <x:c r="L233" s="20" t="str">
        <x:v>U+7C8B</x:v>
      </x:c>
      <x:c r="M233" s="20" t="str">
        <x:v>CJK Unified Ideographs</x:v>
      </x:c>
      <x:c r="N233" s="20" t="str">
        <x:v>Unicode code point recorded</x:v>
      </x:c>
      <x:c r="O233" s="20" t="str">
        <x:v>Low</x:v>
      </x:c>
      <x:c r="P233" s="20" t="str">
        <x:v>Structured</x:v>
      </x:c>
      <x:c r="Q233" s="20" t="str">
        <x:v>1.2.020-05 | 7C8B / [UNUSED J] | 粋 | 粹 |  | 7CB9 [TGH 1] | </x:v>
      </x:c>
      <x:c r="R233" s="20" t="str">
        <x:v>Uploaded: n2924-SecondStageSimplificationStatusv3.pdf</x:v>
      </x:c>
    </x:row>
    <x:row r="234">
      <x:c r="A234" s="20" t="str">
        <x:v>1.2.020-06</x:v>
      </x:c>
      <x:c r="B234" s="20" t="n">
        <x:v>34</x:v>
      </x:c>
      <x:c r="C234" s="20" t="str">
        <x:v>Part One</x:v>
      </x:c>
      <x:c r="D234" s="20" t="str">
        <x:v>1.2</x:v>
      </x:c>
      <x:c r="E234" s="20" t="str">
        <x:v>Part One — Generic Simplifications / Derived Forms</x:v>
      </x:c>
      <x:c r="F234" s="20" t="str">
        <x:v>7FC6
[UNUSED J]</x:v>
      </x:c>
      <x:c r="G234" s="20" t="str">
        <x:v>翆</x:v>
      </x:c>
      <x:c r="H234" s="20" t="str">
        <x:v>翠</x:v>
      </x:c>
      <x:c r="I234" s="20" t="str"/>
      <x:c r="J234" s="20" t="str">
        <x:v>7FE0 [TGH 1]</x:v>
      </x:c>
      <x:c r="K234" s="20" t="str"/>
      <x:c r="L234" s="20" t="str">
        <x:v>U+7FC6</x:v>
      </x:c>
      <x:c r="M234" s="20" t="str">
        <x:v>CJK Unified Ideographs</x:v>
      </x:c>
      <x:c r="N234" s="20" t="str">
        <x:v>Unicode code point recorded</x:v>
      </x:c>
      <x:c r="O234" s="20" t="str">
        <x:v>Low</x:v>
      </x:c>
      <x:c r="P234" s="20" t="str">
        <x:v>Structured</x:v>
      </x:c>
      <x:c r="Q234" s="20" t="str">
        <x:v>1.2.020-06 | 7FC6 / [UNUSED J] | 翆 | 翠 |  | 7FE0 [TGH 1] | </x:v>
      </x:c>
      <x:c r="R234" s="20" t="str">
        <x:v>Uploaded: n2924-SecondStageSimplificationStatusv3.pdf</x:v>
      </x:c>
    </x:row>
    <x:row r="235">
      <x:c r="A235" s="20" t="str">
        <x:v>1.2.020-07</x:v>
      </x:c>
      <x:c r="B235" s="20" t="n">
        <x:v>34</x:v>
      </x:c>
      <x:c r="C235" s="20" t="str">
        <x:v>Part One</x:v>
      </x:c>
      <x:c r="D235" s="20" t="str">
        <x:v>1.2</x:v>
      </x:c>
      <x:c r="E235" s="20" t="str">
        <x:v>Part One — Generic Simplifications / Derived Forms</x:v>
      </x:c>
      <x:c r="F235" s="20" t="str">
        <x:v>9154
[UNUSED J]</x:v>
      </x:c>
      <x:c r="G235" s="20" t="str">
        <x:v>酔</x:v>
      </x:c>
      <x:c r="H235" s="20" t="str">
        <x:v>醉</x:v>
      </x:c>
      <x:c r="I235" s="20" t="str"/>
      <x:c r="J235" s="20" t="str">
        <x:v>9189 [TGH 1]</x:v>
      </x:c>
      <x:c r="K235" s="20" t="str"/>
      <x:c r="L235" s="20" t="str">
        <x:v>U+9154</x:v>
      </x:c>
      <x:c r="M235" s="20" t="str">
        <x:v>CJK Unified Ideographs</x:v>
      </x:c>
      <x:c r="N235" s="20" t="str">
        <x:v>Unicode code point recorded</x:v>
      </x:c>
      <x:c r="O235" s="20" t="str">
        <x:v>Low</x:v>
      </x:c>
      <x:c r="P235" s="20" t="str">
        <x:v>Structured</x:v>
      </x:c>
      <x:c r="Q235" s="20" t="str">
        <x:v>1.2.020-07 | 9154 / [UNUSED J] | 酔 | 醉 |  | 9189 [TGH 1] | </x:v>
      </x:c>
      <x:c r="R235" s="20" t="str">
        <x:v>Uploaded: n2924-SecondStageSimplificationStatusv3.pdf</x:v>
      </x:c>
    </x:row>
    <x:row r="236">
      <x:c r="A236" s="20" t="str">
        <x:v>1.2.021</x:v>
      </x:c>
      <x:c r="B236" s="20" t="n">
        <x:v>34</x:v>
      </x:c>
      <x:c r="C236" s="20" t="str">
        <x:v>Part One</x:v>
      </x:c>
      <x:c r="D236" s="20" t="str">
        <x:v>1.2</x:v>
      </x:c>
      <x:c r="E236" s="20" t="str">
        <x:v>Part One — Generic Simplifications / Derived Forms</x:v>
      </x:c>
      <x:c r="F236" s="20" t="str">
        <x:v>300DD17
(⿱䒑⿹𠀁𠀁丶)</x:v>
      </x:c>
      <x:c r="G236" s="20" t="str">
        <x:v>𰃝𰃝</x:v>
      </x:c>
      <x:c r="H236" s="20" t="str">
        <x:v>尊</x:v>
      </x:c>
      <x:c r="I236" s="20" t="str"/>
      <x:c r="J236" s="20" t="str">
        <x:v>5C0A [TGH 1]</x:v>
      </x:c>
      <x:c r="K236" s="20" t="str"/>
      <x:c r="L236" s="20" t="str"/>
      <x:c r="M236" s="20" t="str"/>
      <x:c r="N236" s="20" t="str">
        <x:v>IDS / unencoded in 2022 source — review against Unicode 17 / GEJ</x:v>
      </x:c>
      <x:c r="O236" s="20" t="str">
        <x:v>High</x:v>
      </x:c>
      <x:c r="P236" s="20" t="str">
        <x:v>Structured</x:v>
      </x:c>
      <x:c r="Q236" s="20" t="str">
        <x:v>1.2.021 | 300DD17 / (⿱䒑⿹𠀁𠀁丶) | 𰃝𰃝 | 尊 |  | 5C0A [TGH 1] | </x:v>
      </x:c>
      <x:c r="R236" s="20" t="str">
        <x:v>Uploaded: n2924-SecondStageSimplificationStatusv3.pdf</x:v>
      </x:c>
    </x:row>
    <x:row r="237">
      <x:c r="A237" s="20" t="str">
        <x:v>1.2.021-01</x:v>
      </x:c>
      <x:c r="B237" s="20" t="n">
        <x:v>35</x:v>
      </x:c>
      <x:c r="C237" s="20" t="str">
        <x:v>Part One</x:v>
      </x:c>
      <x:c r="D237" s="20" t="str">
        <x:v>1.2</x:v>
      </x:c>
      <x:c r="E237" s="20" t="str">
        <x:v>Part One — Generic Simplifications / Derived Forms</x:v>
      </x:c>
      <x:c r="F237" s="20" t="str">
        <x:v>304E2
(⿰扌𰃝𰃝)</x:v>
      </x:c>
      <x:c r="G237" s="20" t="str">
        <x:v>𰓢𰓢</x:v>
      </x:c>
      <x:c r="H237" s="20" t="str">
        <x:v>撙</x:v>
      </x:c>
      <x:c r="I237" s="20" t="str"/>
      <x:c r="J237" s="20" t="str">
        <x:v>6499 [TGH 2]</x:v>
      </x:c>
      <x:c r="K237" s="20" t="str"/>
      <x:c r="L237" s="20" t="str">
        <x:v>U+304E2</x:v>
      </x:c>
      <x:c r="M237" s="20" t="str">
        <x:v>CJK Unified Ideographs Extension G</x:v>
      </x:c>
      <x:c r="N237" s="20" t="str">
        <x:v>Encoded now — Extension G</x:v>
      </x:c>
      <x:c r="O237" s="20" t="str">
        <x:v>Low</x:v>
      </x:c>
      <x:c r="P237" s="20" t="str">
        <x:v>Structured</x:v>
      </x:c>
      <x:c r="Q237" s="20" t="str">
        <x:v>1.2.021-01 | 304E2 / (⿰扌𰃝𰃝) | 𰓢𰓢 | 撙 |  | 6499 [TGH 2] | </x:v>
      </x:c>
      <x:c r="R237" s="20" t="str">
        <x:v>Uploaded: n2924-SecondStageSimplificationStatusv3.pdf</x:v>
      </x:c>
    </x:row>
    <x:row r="238">
      <x:c r="A238" s="20" t="str">
        <x:v>2.1.001</x:v>
      </x:c>
      <x:c r="B238" s="20" t="n">
        <x:v>36</x:v>
      </x:c>
      <x:c r="C238" s="20" t="str">
        <x:v>Part Two</x:v>
      </x:c>
      <x:c r="D238" s="20" t="str">
        <x:v>2.1</x:v>
      </x:c>
      <x:c r="E238" s="20" t="str">
        <x:v>Part Two — Homophonic Substitutions</x:v>
      </x:c>
      <x:c r="F238" s="20" t="str">
        <x:v>6591 [TGH 1]</x:v>
      </x:c>
      <x:c r="G238" s="20" t="str">
        <x:v>斑</x:v>
      </x:c>
      <x:c r="H238" s="20" t="str">
        <x:v>癍</x:v>
      </x:c>
      <x:c r="I238" s="20" t="str"/>
      <x:c r="J238" s="20" t="str">
        <x:v>764D [TGH
2]</x:v>
      </x:c>
      <x:c r="K238" s="20" t="str"/>
      <x:c r="L238" s="20" t="str">
        <x:v>U+6591</x:v>
      </x:c>
      <x:c r="M238" s="20" t="str">
        <x:v>CJK Unified Ideographs</x:v>
      </x:c>
      <x:c r="N238" s="20" t="str">
        <x:v>Unicode code point recorded</x:v>
      </x:c>
      <x:c r="O238" s="20" t="str">
        <x:v>Low</x:v>
      </x:c>
      <x:c r="P238" s="20" t="str">
        <x:v>Structured</x:v>
      </x:c>
      <x:c r="Q238" s="20" t="str">
        <x:v>2.1.001 | 6591 [TGH 1] | 斑 | 癍 | 764D [TGH / 2] | </x:v>
      </x:c>
      <x:c r="R238" s="20" t="str">
        <x:v>Uploaded: n2924-SecondStageSimplificationStatusv3.pdf</x:v>
      </x:c>
    </x:row>
    <x:row r="239">
      <x:c r="A239" s="20" t="str">
        <x:v>2.1.002</x:v>
      </x:c>
      <x:c r="B239" s="20" t="n">
        <x:v>36</x:v>
      </x:c>
      <x:c r="C239" s="20" t="str">
        <x:v>Part Two</x:v>
      </x:c>
      <x:c r="D239" s="20" t="str">
        <x:v>2.1</x:v>
      </x:c>
      <x:c r="E239" s="20" t="str">
        <x:v>Part Two — Homophonic Substitutions</x:v>
      </x:c>
      <x:c r="F239" s="20" t="str">
        <x:v>535E [TGH 2]</x:v>
      </x:c>
      <x:c r="G239" s="20" t="str">
        <x:v>卞</x:v>
      </x:c>
      <x:c r="H239" s="20" t="str">
        <x:v>鞭</x:v>
      </x:c>
      <x:c r="I239" s="20" t="str"/>
      <x:c r="J239" s="20" t="str">
        <x:v>97AD [TGH
1]</x:v>
      </x:c>
      <x:c r="K239" s="20" t="str"/>
      <x:c r="L239" s="20" t="str">
        <x:v>U+535E</x:v>
      </x:c>
      <x:c r="M239" s="20" t="str">
        <x:v>CJK Unified Ideographs</x:v>
      </x:c>
      <x:c r="N239" s="20" t="str">
        <x:v>Unicode code point recorded</x:v>
      </x:c>
      <x:c r="O239" s="20" t="str">
        <x:v>Low</x:v>
      </x:c>
      <x:c r="P239" s="20" t="str">
        <x:v>Structured</x:v>
      </x:c>
      <x:c r="Q239" s="20" t="str">
        <x:v>2.1.002 | 535E [TGH 2] | 卞 | 鞭 | 97AD [TGH / 1] | </x:v>
      </x:c>
      <x:c r="R239" s="20" t="str">
        <x:v>Uploaded: n2924-SecondStageSimplificationStatusv3.pdf</x:v>
      </x:c>
    </x:row>
    <x:row r="240">
      <x:c r="A240" s="20" t="str">
        <x:v>2.1.003</x:v>
      </x:c>
      <x:c r="B240" s="20" t="n">
        <x:v>36</x:v>
      </x:c>
      <x:c r="C240" s="20" t="str">
        <x:v>Part Two</x:v>
      </x:c>
      <x:c r="D240" s="20" t="str">
        <x:v>2.1</x:v>
      </x:c>
      <x:c r="E240" s="20" t="str">
        <x:v>Part Two — Homophonic Substitutions</x:v>
      </x:c>
      <x:c r="F240" s="20" t="str">
        <x:v>5F01 [TGH 2]</x:v>
      </x:c>
      <x:c r="G240" s="20" t="str">
        <x:v>弁</x:v>
      </x:c>
      <x:c r="H240" s="20" t="str">
        <x:v>辨辩辫</x:v>
      </x:c>
      <x:c r="I240" s="20" t="str"/>
      <x:c r="J240" s="20" t="str">
        <x:v>8FA8 [TGH
1]
8FA9 [TGH
1]
8FAB [TGH
1]</x:v>
      </x:c>
      <x:c r="K240" s="20" t="str"/>
      <x:c r="L240" s="20" t="str">
        <x:v>U+5F01</x:v>
      </x:c>
      <x:c r="M240" s="20" t="str">
        <x:v>CJK Unified Ideographs</x:v>
      </x:c>
      <x:c r="N240" s="20" t="str">
        <x:v>Unicode code point recorded</x:v>
      </x:c>
      <x:c r="O240" s="20" t="str">
        <x:v>Low</x:v>
      </x:c>
      <x:c r="P240" s="20" t="str">
        <x:v>Structured</x:v>
      </x:c>
      <x:c r="Q240" s="20" t="str">
        <x:v>2.1.003 | 5F01 [TGH 2] | 弁 | 辨辩辫 | 8FA8 [TGH / 1] / 8FA9 [TGH / 1] / 8FAB [TGH / 1] | </x:v>
      </x:c>
      <x:c r="R240" s="20" t="str">
        <x:v>Uploaded: n2924-SecondStageSimplificationStatusv3.pdf</x:v>
      </x:c>
    </x:row>
    <x:row r="241">
      <x:c r="A241" s="20" t="str">
        <x:v>2.1.004</x:v>
      </x:c>
      <x:c r="B241" s="20" t="n">
        <x:v>36</x:v>
      </x:c>
      <x:c r="C241" s="20" t="str">
        <x:v>Part Two</x:v>
      </x:c>
      <x:c r="D241" s="20" t="str">
        <x:v>2.1</x:v>
      </x:c>
      <x:c r="E241" s="20" t="str">
        <x:v>Part Two — Homophonic Substitutions</x:v>
      </x:c>
      <x:c r="F241" s="20" t="str">
        <x:v>5B5B [TGH 2]</x:v>
      </x:c>
      <x:c r="G241" s="20" t="str">
        <x:v>孛</x:v>
      </x:c>
      <x:c r="H241" s="20" t="str">
        <x:v>勃渤脖
饽</x:v>
      </x:c>
      <x:c r="I241" s="20" t="str"/>
      <x:c r="J241" s="20" t="str">
        <x:v>52C3 [TGH
1]
6E24 [TGH
1]
8116 [TGH
1]
997D [TGH
2]</x:v>
      </x:c>
      <x:c r="K241" s="20" t="str"/>
      <x:c r="L241" s="20" t="str">
        <x:v>U+5B5B</x:v>
      </x:c>
      <x:c r="M241" s="20" t="str">
        <x:v>CJK Unified Ideographs</x:v>
      </x:c>
      <x:c r="N241" s="20" t="str">
        <x:v>Unicode code point recorded</x:v>
      </x:c>
      <x:c r="O241" s="20" t="str">
        <x:v>Low</x:v>
      </x:c>
      <x:c r="P241" s="20" t="str">
        <x:v>Structured</x:v>
      </x:c>
      <x:c r="Q241" s="20" t="str">
        <x:v>2.1.004 | 5B5B [TGH 2] | 孛 | 勃渤脖 / 饽 | 52C3 [TGH / 1] / 6E24 [TGH / 1] / 8116 [TGH / 1] / 997D [TGH / 2] | </x:v>
      </x:c>
      <x:c r="R241" s="20" t="str">
        <x:v>Uploaded: n2924-SecondStageSimplificationStatusv3.pdf</x:v>
      </x:c>
    </x:row>
    <x:row r="242">
      <x:c r="A242" s="20" t="str">
        <x:v>2.1.005</x:v>
      </x:c>
      <x:c r="B242" s="20" t="n">
        <x:v>36</x:v>
      </x:c>
      <x:c r="C242" s="20" t="str">
        <x:v>Part Two</x:v>
      </x:c>
      <x:c r="D242" s="20" t="str">
        <x:v>2.1</x:v>
      </x:c>
      <x:c r="E242" s="20" t="str">
        <x:v>Part Two — Homophonic Substitutions</x:v>
      </x:c>
      <x:c r="F242" s="20" t="str">
        <x:v>6CE2 [TGH 1]</x:v>
      </x:c>
      <x:c r="G242" s="20" t="str"/>
      <x:c r="H242" s="20" t="str"/>
      <x:c r="I242" s="20" t="str"/>
      <x:c r="J242" s="20" t="str">
        <x:v>7C38 [TGH
1]</x:v>
      </x:c>
      <x:c r="K242" s="20" t="str"/>
      <x:c r="L242" s="20" t="str">
        <x:v>U+6CE2</x:v>
      </x:c>
      <x:c r="M242" s="20" t="str">
        <x:v>CJK Unified Ideographs</x:v>
      </x:c>
      <x:c r="N242" s="20" t="str">
        <x:v>Unicode code point recorded</x:v>
      </x:c>
      <x:c r="O242" s="20" t="str">
        <x:v>Low</x:v>
      </x:c>
      <x:c r="P242" s="20" t="str">
        <x:v>Structured</x:v>
      </x:c>
      <x:c r="Q242" s="20" t="str">
        <x:v>2.1.005 | 6CE2 [TGH 1] |  |  | 7C38 [TGH / 1] | </x:v>
      </x:c>
      <x:c r="R242" s="20" t="str">
        <x:v>Uploaded: n2924-SecondStageSimplificationStatusv3.pdf</x:v>
      </x:c>
    </x:row>
    <x:row r="243">
      <x:c r="A243" s="20" t="str">
        <x:v>2.1.006</x:v>
      </x:c>
      <x:c r="B243" s="20" t="n">
        <x:v>36</x:v>
      </x:c>
      <x:c r="C243" s="20" t="str">
        <x:v>Part Two</x:v>
      </x:c>
      <x:c r="D243" s="20" t="str">
        <x:v>2.1</x:v>
      </x:c>
      <x:c r="E243" s="20" t="str">
        <x:v>Part Two — Homophonic Substitutions</x:v>
      </x:c>
      <x:c r="F243" s="20" t="str">
        <x:v>5F7B [TGH 1]</x:v>
      </x:c>
      <x:c r="G243" s="20" t="str">
        <x:v>波</x:v>
      </x:c>
      <x:c r="H243" s="20" t="str">
        <x:v>簸</x:v>
      </x:c>
      <x:c r="I243" s="20" t="str"/>
      <x:c r="J243" s="20" t="str">
        <x:v>6F88 [TGH
1]</x:v>
      </x:c>
      <x:c r="K243" s="20" t="str"/>
      <x:c r="L243" s="20" t="str">
        <x:v>U+5F7B</x:v>
      </x:c>
      <x:c r="M243" s="20" t="str">
        <x:v>CJK Unified Ideographs</x:v>
      </x:c>
      <x:c r="N243" s="20" t="str">
        <x:v>Unicode code point recorded</x:v>
      </x:c>
      <x:c r="O243" s="20" t="str">
        <x:v>Low</x:v>
      </x:c>
      <x:c r="P243" s="20" t="str">
        <x:v>Structured</x:v>
      </x:c>
      <x:c r="Q243" s="20" t="str">
        <x:v>2.1.006 | 5F7B [TGH 1] | 波 | 簸 | 6F88 [TGH / 1] | </x:v>
      </x:c>
      <x:c r="R243" s="20" t="str">
        <x:v>Uploaded: n2924-SecondStageSimplificationStatusv3.pdf</x:v>
      </x:c>
    </x:row>
    <x:row r="244">
      <x:c r="A244" s="20" t="str">
        <x:v>2.1.007</x:v>
      </x:c>
      <x:c r="B244" s="20" t="n">
        <x:v>36</x:v>
      </x:c>
      <x:c r="C244" s="20" t="str">
        <x:v>Part Two</x:v>
      </x:c>
      <x:c r="D244" s="20" t="str">
        <x:v>2.1</x:v>
      </x:c>
      <x:c r="E244" s="20" t="str">
        <x:v>Part Two — Homophonic Substitutions</x:v>
      </x:c>
      <x:c r="F244" s="20" t="str">
        <x:v>4FC3 [TGH 1]</x:v>
      </x:c>
      <x:c r="G244" s="20" t="str">
        <x:v>彻</x:v>
      </x:c>
      <x:c r="H244" s="20" t="str">
        <x:v>澈</x:v>
      </x:c>
      <x:c r="I244" s="20" t="str"/>
      <x:c r="J244" s="20" t="str">
        <x:v>8E59 [TGH
2]</x:v>
      </x:c>
      <x:c r="K244" s="20" t="str"/>
      <x:c r="L244" s="20" t="str">
        <x:v>U+4FC3</x:v>
      </x:c>
      <x:c r="M244" s="20" t="str">
        <x:v>CJK Unified Ideographs</x:v>
      </x:c>
      <x:c r="N244" s="20" t="str">
        <x:v>Unicode code point recorded</x:v>
      </x:c>
      <x:c r="O244" s="20" t="str">
        <x:v>Low</x:v>
      </x:c>
      <x:c r="P244" s="20" t="str">
        <x:v>Structured</x:v>
      </x:c>
      <x:c r="Q244" s="20" t="str">
        <x:v>2.1.007 | 4FC3 [TGH 1] | 彻 | 澈 | 8E59 [TGH / 2] | </x:v>
      </x:c>
      <x:c r="R244" s="20" t="str">
        <x:v>Uploaded: n2924-SecondStageSimplificationStatusv3.pdf</x:v>
      </x:c>
    </x:row>
    <x:row r="245">
      <x:c r="A245" s="20" t="str">
        <x:v>2.1.008</x:v>
      </x:c>
      <x:c r="B245" s="20" t="n">
        <x:v>36</x:v>
      </x:c>
      <x:c r="C245" s="20" t="str">
        <x:v>Part Two</x:v>
      </x:c>
      <x:c r="D245" s="20" t="str">
        <x:v>2.1</x:v>
      </x:c>
      <x:c r="E245" s="20" t="str">
        <x:v>Part Two — Homophonic Substitutions</x:v>
      </x:c>
      <x:c r="F245" s="20" t="str">
        <x:v>4EE3 [TGH 1]</x:v>
      </x:c>
      <x:c r="G245" s="20" t="str">
        <x:v>促</x:v>
      </x:c>
      <x:c r="H245" s="20" t="str">
        <x:v>蹙</x:v>
      </x:c>
      <x:c r="I245" s="20" t="str"/>
      <x:c r="J245" s="20" t="str">
        <x:v>6234 [TGH
1]</x:v>
      </x:c>
      <x:c r="K245" s="20" t="str"/>
      <x:c r="L245" s="20" t="str">
        <x:v>U+4EE3</x:v>
      </x:c>
      <x:c r="M245" s="20" t="str">
        <x:v>CJK Unified Ideographs</x:v>
      </x:c>
      <x:c r="N245" s="20" t="str">
        <x:v>Unicode code point recorded</x:v>
      </x:c>
      <x:c r="O245" s="20" t="str">
        <x:v>Low</x:v>
      </x:c>
      <x:c r="P245" s="20" t="str">
        <x:v>Structured</x:v>
      </x:c>
      <x:c r="Q245" s="20" t="str">
        <x:v>2.1.008 | 4EE3 [TGH 1] | 促 | 蹙 | 6234 [TGH / 1] | </x:v>
      </x:c>
      <x:c r="R245" s="20" t="str">
        <x:v>Uploaded: n2924-SecondStageSimplificationStatusv3.pdf</x:v>
      </x:c>
    </x:row>
    <x:row r="246">
      <x:c r="A246" s="20" t="str">
        <x:v>2.1.009</x:v>
      </x:c>
      <x:c r="B246" s="20" t="n">
        <x:v>37</x:v>
      </x:c>
      <x:c r="C246" s="20" t="str">
        <x:v>Part Two</x:v>
      </x:c>
      <x:c r="D246" s="20" t="str">
        <x:v>2.1</x:v>
      </x:c>
      <x:c r="E246" s="20" t="str">
        <x:v>Part Two — Homophonic Substitutions</x:v>
      </x:c>
      <x:c r="F246" s="20" t="str">
        <x:v>310A919 (fr.
98A0 [TGH
1])</x:v>
      </x:c>
      <x:c r="G246" s="20" t="str">
        <x:v>巅</x:v>
      </x:c>
      <x:c r="H246" s="20" t="str">
        <x:v>巅
(巅)
癫
(癫)</x:v>
      </x:c>
      <x:c r="I246" s="20" t="str"/>
      <x:c r="J246" s="20" t="str">
        <x:v>Results
of:
5DC5 [TGH
1]
766B [TGH
2]</x:v>
      </x:c>
      <x:c r="K246" s="20" t="str">
        <x:v>Completes the
simplification of
1.2.018.</x:v>
      </x:c>
      <x:c r="L246" s="20" t="str"/>
      <x:c r="M246" s="20" t="str"/>
      <x:c r="N246" s="20" t="str">
        <x:v>No parseable code point — manual review</x:v>
      </x:c>
      <x:c r="O246" s="20" t="str">
        <x:v>Medium</x:v>
      </x:c>
      <x:c r="P246" s="20" t="str">
        <x:v>Structured</x:v>
      </x:c>
      <x:c r="Q246" s="20" t="str">
        <x:v>2.1.009 | 310A919 (fr. / 98A0 [TGH / 1]) | 巅 | 巅 / (巅) / 癫 / (癫) | Results / of: / 5DC5 [TGH / 1] / 766B [TGH / 2] | Completes the / simplification of / 1.2.018.</x:v>
      </x:c>
      <x:c r="R246" s="20" t="str">
        <x:v>Uploaded: n2924-SecondStageSimplificationStatusv3.pdf</x:v>
      </x:c>
    </x:row>
    <x:row r="247">
      <x:c r="A247" s="20" t="str">
        <x:v>2.1.010</x:v>
      </x:c>
      <x:c r="B247" s="20" t="n">
        <x:v>37</x:v>
      </x:c>
      <x:c r="C247" s="20" t="str">
        <x:v>Part Two</x:v>
      </x:c>
      <x:c r="D247" s="20" t="str">
        <x:v>2.1</x:v>
      </x:c>
      <x:c r="E247" s="20" t="str">
        <x:v>Part Two — Homophonic Substitutions</x:v>
      </x:c>
      <x:c r="F247" s="20" t="str">
        <x:v>5201 [TGH 1]</x:v>
      </x:c>
      <x:c r="G247" s="20" t="str">
        <x:v>刁</x:v>
      </x:c>
      <x:c r="H247" s="20" t="str">
        <x:v>凋碉雕</x:v>
      </x:c>
      <x:c r="I247" s="20" t="str"/>
      <x:c r="J247" s="20" t="str">
        <x:v>51CB [TGH
2]
7889 [TGH
2]
96D5 [TGH
1]</x:v>
      </x:c>
      <x:c r="K247" s="20" t="str">
        <x:v>雕 is when mean㏌g
ʻengrav㏌g’,
otherwise 2.2.014.</x:v>
      </x:c>
      <x:c r="L247" s="20" t="str">
        <x:v>U+5201</x:v>
      </x:c>
      <x:c r="M247" s="20" t="str">
        <x:v>CJK Unified Ideographs</x:v>
      </x:c>
      <x:c r="N247" s="20" t="str">
        <x:v>Unicode code point recorded</x:v>
      </x:c>
      <x:c r="O247" s="20" t="str">
        <x:v>Low</x:v>
      </x:c>
      <x:c r="P247" s="20" t="str">
        <x:v>Structured</x:v>
      </x:c>
      <x:c r="Q247" s="20" t="str">
        <x:v>2.1.010 | 5201 [TGH 1] | 刁 | 凋碉雕 | 51CB [TGH / 2] / 7889 [TGH / 2] / 96D5 [TGH / 1] | 雕 is when mean㏌g / ʻengrav㏌g’, / otherwise 2.2.014.</x:v>
      </x:c>
      <x:c r="R247" s="20" t="str">
        <x:v>Uploaded: n2924-SecondStageSimplificationStatusv3.pdf</x:v>
      </x:c>
    </x:row>
    <x:row r="248">
      <x:c r="A248" s="20" t="str">
        <x:v>2.1.011</x:v>
      </x:c>
      <x:c r="B248" s="20" t="n">
        <x:v>37</x:v>
      </x:c>
      <x:c r="C248" s="20" t="str">
        <x:v>Part Two</x:v>
      </x:c>
      <x:c r="D248" s="20" t="str">
        <x:v>2.1</x:v>
      </x:c>
      <x:c r="E248" s="20" t="str">
        <x:v>Part Two — Homophonic Substitutions</x:v>
      </x:c>
      <x:c r="F248" s="20" t="str">
        <x:v>6597 [TGH 1]</x:v>
      </x:c>
      <x:c r="G248" s="20" t="str"/>
      <x:c r="H248" s="20" t="str"/>
      <x:c r="I248" s="20" t="str"/>
      <x:c r="J248" s="20" t="str">
        <x:v>9661 [TGH
1]</x:v>
      </x:c>
      <x:c r="K248" s="20" t="str"/>
      <x:c r="L248" s="20" t="str">
        <x:v>U+6597</x:v>
      </x:c>
      <x:c r="M248" s="20" t="str">
        <x:v>CJK Unified Ideographs</x:v>
      </x:c>
      <x:c r="N248" s="20" t="str">
        <x:v>Unicode code point recorded</x:v>
      </x:c>
      <x:c r="O248" s="20" t="str">
        <x:v>Low</x:v>
      </x:c>
      <x:c r="P248" s="20" t="str">
        <x:v>Structured</x:v>
      </x:c>
      <x:c r="Q248" s="20" t="str">
        <x:v>2.1.011 | 6597 [TGH 1] |  |  | 9661 [TGH / 1] | </x:v>
      </x:c>
      <x:c r="R248" s="20" t="str">
        <x:v>Uploaded: n2924-SecondStageSimplificationStatusv3.pdf</x:v>
      </x:c>
    </x:row>
    <x:row r="249">
      <x:c r="A249" s="20" t="str">
        <x:v>2.1.012</x:v>
      </x:c>
      <x:c r="B249" s="20" t="n">
        <x:v>37</x:v>
      </x:c>
      <x:c r="C249" s="20" t="str">
        <x:v>Part Two</x:v>
      </x:c>
      <x:c r="D249" s="20" t="str">
        <x:v>2.1</x:v>
      </x:c>
      <x:c r="E249" s="20" t="str">
        <x:v>Part Two — Homophonic Substitutions</x:v>
      </x:c>
      <x:c r="F249" s="20" t="str">
        <x:v>90FD [TGH 1]</x:v>
      </x:c>
      <x:c r="G249" s="20" t="str">
        <x:v>斗</x:v>
      </x:c>
      <x:c r="H249" s="20" t="str">
        <x:v>陡</x:v>
      </x:c>
      <x:c r="I249" s="20" t="str"/>
      <x:c r="J249" s="20" t="str">
        <x:v>561F [TGH
2]</x:v>
      </x:c>
      <x:c r="K249" s="20" t="str"/>
      <x:c r="L249" s="20" t="str">
        <x:v>U+90FD</x:v>
      </x:c>
      <x:c r="M249" s="20" t="str">
        <x:v>CJK Unified Ideographs</x:v>
      </x:c>
      <x:c r="N249" s="20" t="str">
        <x:v>Unicode code point recorded</x:v>
      </x:c>
      <x:c r="O249" s="20" t="str">
        <x:v>Low</x:v>
      </x:c>
      <x:c r="P249" s="20" t="str">
        <x:v>Structured</x:v>
      </x:c>
      <x:c r="Q249" s="20" t="str">
        <x:v>2.1.012 | 90FD [TGH 1] | 斗 | 陡 | 561F [TGH / 2] | </x:v>
      </x:c>
      <x:c r="R249" s="20" t="str">
        <x:v>Uploaded: n2924-SecondStageSimplificationStatusv3.pdf</x:v>
      </x:c>
    </x:row>
    <x:row r="250">
      <x:c r="A250" s="20" t="str">
        <x:v>2.1.013</x:v>
      </x:c>
      <x:c r="B250" s="20" t="n">
        <x:v>37</x:v>
      </x:c>
      <x:c r="C250" s="20" t="str">
        <x:v>Part Two</x:v>
      </x:c>
      <x:c r="D250" s="20" t="str">
        <x:v>2.1</x:v>
      </x:c>
      <x:c r="E250" s="20" t="str">
        <x:v>Part Two — Homophonic Substitutions</x:v>
      </x:c>
      <x:c r="F250" s="20" t="str">
        <x:v>953B [TGH 1]</x:v>
      </x:c>
      <x:c r="G250" s="20" t="str">
        <x:v>都</x:v>
      </x:c>
      <x:c r="H250" s="20" t="str">
        <x:v>嘟</x:v>
      </x:c>
      <x:c r="I250" s="20" t="str"/>
      <x:c r="J250" s="20" t="str">
        <x:v>7145 [TGH
2]</x:v>
      </x:c>
      <x:c r="K250" s="20" t="str"/>
      <x:c r="L250" s="20" t="str">
        <x:v>U+953B</x:v>
      </x:c>
      <x:c r="M250" s="20" t="str">
        <x:v>CJK Unified Ideographs</x:v>
      </x:c>
      <x:c r="N250" s="20" t="str">
        <x:v>Unicode code point recorded</x:v>
      </x:c>
      <x:c r="O250" s="20" t="str">
        <x:v>Low</x:v>
      </x:c>
      <x:c r="P250" s="20" t="str">
        <x:v>Structured</x:v>
      </x:c>
      <x:c r="Q250" s="20" t="str">
        <x:v>2.1.013 | 953B [TGH 1] | 都 | 嘟 | 7145 [TGH / 2] | </x:v>
      </x:c>
      <x:c r="R250" s="20" t="str">
        <x:v>Uploaded: n2924-SecondStageSimplificationStatusv3.pdf</x:v>
      </x:c>
    </x:row>
    <x:row r="251">
      <x:c r="A251" s="20" t="str">
        <x:v>2.1.014</x:v>
      </x:c>
      <x:c r="B251" s="20" t="n">
        <x:v>37</x:v>
      </x:c>
      <x:c r="C251" s="20" t="str">
        <x:v>Part Two</x:v>
      </x:c>
      <x:c r="D251" s="20" t="str">
        <x:v>2.1</x:v>
      </x:c>
      <x:c r="E251" s="20" t="str">
        <x:v>Part Two — Homophonic Substitutions</x:v>
      </x:c>
      <x:c r="F251" s="20" t="str">
        <x:v>6566 [TGH 1]</x:v>
      </x:c>
      <x:c r="G251" s="20" t="str">
        <x:v>锻
敦</x:v>
      </x:c>
      <x:c r="H251" s="20" t="str">
        <x:v>煅
墩礅蹾
撉</x:v>
      </x:c>
      <x:c r="I251" s="20" t="str"/>
      <x:c r="J251" s="20" t="str">
        <x:v>58A9 [TGH
1]
7905 [TGH
2]
8E7E [TGH
2]
6489
[UNUSED
HMT]20</x:v>
      </x:c>
      <x:c r="K251" s="20" t="str"/>
      <x:c r="L251" s="20" t="str">
        <x:v>U+6566</x:v>
      </x:c>
      <x:c r="M251" s="20" t="str">
        <x:v>CJK Unified Ideographs</x:v>
      </x:c>
      <x:c r="N251" s="20" t="str">
        <x:v>Unicode code point recorded</x:v>
      </x:c>
      <x:c r="O251" s="20" t="str">
        <x:v>Low</x:v>
      </x:c>
      <x:c r="P251" s="20" t="str">
        <x:v>Structured</x:v>
      </x:c>
      <x:c r="Q251" s="20" t="str">
        <x:v>2.1.014 | 6566 [TGH 1] | 锻 / 敦 | 煅 / 墩礅蹾 / 撉 | 58A9 [TGH / 1] / 7905 [TGH / 2] / 8E7E [TGH / 2] / 6489 / [UNUSED / HMT]20 | </x:v>
      </x:c>
      <x:c r="R251" s="20" t="str">
        <x:v>Uploaded: n2924-SecondStageSimplificationStatusv3.pdf</x:v>
      </x:c>
    </x:row>
    <x:row r="252">
      <x:c r="A252" s="20" t="str">
        <x:v>2.1.015</x:v>
      </x:c>
      <x:c r="B252" s="20" t="n">
        <x:v>37</x:v>
      </x:c>
      <x:c r="C252" s="20" t="str">
        <x:v>Part Two</x:v>
      </x:c>
      <x:c r="D252" s="20" t="str">
        <x:v>2.1</x:v>
      </x:c>
      <x:c r="E252" s="20" t="str">
        <x:v>Part Two — Homophonic Substitutions</x:v>
      </x:c>
      <x:c r="F252" s="20" t="str">
        <x:v>4F10 [TGH 1]</x:v>
      </x:c>
      <x:c r="G252" s="20" t="str">
        <x:v>伐</x:v>
      </x:c>
      <x:c r="H252" s="20" t="str">
        <x:v>筏阀垡</x:v>
      </x:c>
      <x:c r="I252" s="20" t="str"/>
      <x:c r="J252" s="20" t="str">
        <x:v>7B4F [TGH
1]
9600 [TGH
1]
57A1 [TGH
2]</x:v>
      </x:c>
      <x:c r="K252" s="20" t="str"/>
      <x:c r="L252" s="20" t="str">
        <x:v>U+4F10</x:v>
      </x:c>
      <x:c r="M252" s="20" t="str">
        <x:v>CJK Unified Ideographs</x:v>
      </x:c>
      <x:c r="N252" s="20" t="str">
        <x:v>Unicode code point recorded</x:v>
      </x:c>
      <x:c r="O252" s="20" t="str">
        <x:v>Low</x:v>
      </x:c>
      <x:c r="P252" s="20" t="str">
        <x:v>Structured</x:v>
      </x:c>
      <x:c r="Q252" s="20" t="str">
        <x:v>2.1.015 | 4F10 [TGH 1] | 伐 | 筏阀垡 | 7B4F [TGH / 1] / 9600 [TGH / 1] / 57A1 [TGH / 2] | </x:v>
      </x:c>
      <x:c r="R252" s="20" t="str">
        <x:v>Uploaded: n2924-SecondStageSimplificationStatusv3.pdf</x:v>
      </x:c>
    </x:row>
    <x:row r="253">
      <x:c r="A253" s="20" t="str">
        <x:v>2.1.016</x:v>
      </x:c>
      <x:c r="B253" s="20" t="n">
        <x:v>38</x:v>
      </x:c>
      <x:c r="C253" s="20" t="str">
        <x:v>Part Two</x:v>
      </x:c>
      <x:c r="D253" s="20" t="str">
        <x:v>2.1</x:v>
      </x:c>
      <x:c r="E253" s="20" t="str">
        <x:v>Part Two — Homophonic Substitutions</x:v>
      </x:c>
      <x:c r="F253" s="20" t="str">
        <x:v>4F0F [TGH 1]</x:v>
      </x:c>
      <x:c r="G253" s="20" t="str">
        <x:v>伏</x:v>
      </x:c>
      <x:c r="H253" s="20" t="str">
        <x:v>袱匐</x:v>
      </x:c>
      <x:c r="I253" s="20" t="str"/>
      <x:c r="J253" s="20" t="str">
        <x:v>88B1 [TGH
1]
5310 [TGH
2]</x:v>
      </x:c>
      <x:c r="K253" s="20" t="str"/>
      <x:c r="L253" s="20" t="str">
        <x:v>U+4F0F</x:v>
      </x:c>
      <x:c r="M253" s="20" t="str">
        <x:v>CJK Unified Ideographs</x:v>
      </x:c>
      <x:c r="N253" s="20" t="str">
        <x:v>Unicode code point recorded</x:v>
      </x:c>
      <x:c r="O253" s="20" t="str">
        <x:v>Low</x:v>
      </x:c>
      <x:c r="P253" s="20" t="str">
        <x:v>Structured</x:v>
      </x:c>
      <x:c r="Q253" s="20" t="str">
        <x:v>2.1.016 | 4F0F [TGH 1] | 伏 | 袱匐 | 88B1 [TGH / 1] / 5310 [TGH / 2] | </x:v>
      </x:c>
      <x:c r="R253" s="20" t="str">
        <x:v>Uploaded: n2924-SecondStageSimplificationStatusv3.pdf</x:v>
      </x:c>
    </x:row>
    <x:row r="254">
      <x:c r="A254" s="20" t="str">
        <x:v>2.1.017</x:v>
      </x:c>
      <x:c r="B254" s="20" t="n">
        <x:v>38</x:v>
      </x:c>
      <x:c r="C254" s="20" t="str">
        <x:v>Part Two</x:v>
      </x:c>
      <x:c r="D254" s="20" t="str">
        <x:v>2.1</x:v>
      </x:c>
      <x:c r="E254" s="20" t="str">
        <x:v>Part Two — Homophonic Substitutions</x:v>
      </x:c>
      <x:c r="F254" s="20" t="str">
        <x:v>4ED8 [TGH 1]</x:v>
      </x:c>
      <x:c r="G254" s="20" t="str"/>
      <x:c r="H254" s="20" t="str"/>
      <x:c r="I254" s="20" t="str"/>
      <x:c r="J254" s="20" t="str">
        <x:v>5085 [TGH
1]</x:v>
      </x:c>
      <x:c r="K254" s="20" t="str"/>
      <x:c r="L254" s="20" t="str">
        <x:v>U+4ED8</x:v>
      </x:c>
      <x:c r="M254" s="20" t="str">
        <x:v>CJK Unified Ideographs</x:v>
      </x:c>
      <x:c r="N254" s="20" t="str">
        <x:v>Unicode code point recorded</x:v>
      </x:c>
      <x:c r="O254" s="20" t="str">
        <x:v>Low</x:v>
      </x:c>
      <x:c r="P254" s="20" t="str">
        <x:v>Structured</x:v>
      </x:c>
      <x:c r="Q254" s="20" t="str">
        <x:v>2.1.017 | 4ED8 [TGH 1] |  |  | 5085 [TGH / 1] | </x:v>
      </x:c>
      <x:c r="R254" s="20" t="str">
        <x:v>Uploaded: n2924-SecondStageSimplificationStatusv3.pdf</x:v>
      </x:c>
    </x:row>
    <x:row r="255">
      <x:c r="A255" s="20" t="str">
        <x:v>2.1.018</x:v>
      </x:c>
      <x:c r="B255" s="20" t="n">
        <x:v>38</x:v>
      </x:c>
      <x:c r="C255" s="20" t="str">
        <x:v>Part Two</x:v>
      </x:c>
      <x:c r="D255" s="20" t="str">
        <x:v>2.1</x:v>
      </x:c>
      <x:c r="E255" s="20" t="str">
        <x:v>Part Two — Homophonic Substitutions</x:v>
      </x:c>
      <x:c r="F255" s="20" t="str">
        <x:v>8D76 [TGH 1]</x:v>
      </x:c>
      <x:c r="G255" s="20" t="str">
        <x:v>付</x:v>
      </x:c>
      <x:c r="H255" s="20" t="str">
        <x:v>傅</x:v>
      </x:c>
      <x:c r="I255" s="20" t="str"/>
      <x:c r="J255" s="20" t="str">
        <x:v>64C0 [TGH
2]</x:v>
      </x:c>
      <x:c r="K255" s="20" t="str"/>
      <x:c r="L255" s="20" t="str">
        <x:v>U+8D76</x:v>
      </x:c>
      <x:c r="M255" s="20" t="str">
        <x:v>CJK Unified Ideographs</x:v>
      </x:c>
      <x:c r="N255" s="20" t="str">
        <x:v>Unicode code point recorded</x:v>
      </x:c>
      <x:c r="O255" s="20" t="str">
        <x:v>Low</x:v>
      </x:c>
      <x:c r="P255" s="20" t="str">
        <x:v>Structured</x:v>
      </x:c>
      <x:c r="Q255" s="20" t="str">
        <x:v>2.1.018 | 8D76 [TGH 1] | 付 | 傅 | 64C0 [TGH / 2] | </x:v>
      </x:c>
      <x:c r="R255" s="20" t="str">
        <x:v>Uploaded: n2924-SecondStageSimplificationStatusv3.pdf</x:v>
      </x:c>
    </x:row>
    <x:row r="256">
      <x:c r="A256" s="20" t="str">
        <x:v>2.1.019</x:v>
      </x:c>
      <x:c r="B256" s="20" t="n">
        <x:v>38</x:v>
      </x:c>
      <x:c r="C256" s="20" t="str">
        <x:v>Part Two</x:v>
      </x:c>
      <x:c r="D256" s="20" t="str">
        <x:v>2.1</x:v>
      </x:c>
      <x:c r="E256" s="20" t="str">
        <x:v>Part Two — Homophonic Substitutions</x:v>
      </x:c>
      <x:c r="F256" s="20" t="str">
        <x:v>5E72 [TGH 1]</x:v>
      </x:c>
      <x:c r="G256" s="20" t="str">
        <x:v>赶</x:v>
      </x:c>
      <x:c r="H256" s="20" t="str">
        <x:v>擀</x:v>
      </x:c>
      <x:c r="I256" s="20" t="str"/>
      <x:c r="J256" s="20" t="str">
        <x:v>8D63 [TGH
1]</x:v>
      </x:c>
      <x:c r="K256" s="20" t="str"/>
      <x:c r="L256" s="20" t="str">
        <x:v>U+5E72</x:v>
      </x:c>
      <x:c r="M256" s="20" t="str">
        <x:v>CJK Unified Ideographs</x:v>
      </x:c>
      <x:c r="N256" s="20" t="str">
        <x:v>Unicode code point recorded</x:v>
      </x:c>
      <x:c r="O256" s="20" t="str">
        <x:v>Low</x:v>
      </x:c>
      <x:c r="P256" s="20" t="str">
        <x:v>Structured</x:v>
      </x:c>
      <x:c r="Q256" s="20" t="str">
        <x:v>2.1.019 | 5E72 [TGH 1] | 赶 | 擀 | 8D63 [TGH / 1] | </x:v>
      </x:c>
      <x:c r="R256" s="20" t="str">
        <x:v>Uploaded: n2924-SecondStageSimplificationStatusv3.pdf</x:v>
      </x:c>
    </x:row>
    <x:row r="257">
      <x:c r="A257" s="20" t="str">
        <x:v>2.1.020</x:v>
      </x:c>
      <x:c r="B257" s="20" t="n">
        <x:v>38</x:v>
      </x:c>
      <x:c r="C257" s="20" t="str">
        <x:v>Part Two</x:v>
      </x:c>
      <x:c r="D257" s="20" t="str">
        <x:v>2.1</x:v>
      </x:c>
      <x:c r="E257" s="20" t="str">
        <x:v>Part Two — Homophonic Substitutions</x:v>
      </x:c>
      <x:c r="F257" s="20" t="str">
        <x:v>625E [TGH 3]</x:v>
      </x:c>
      <x:c r="G257" s="20" t="str">
        <x:v>干</x:v>
      </x:c>
      <x:c r="H257" s="20" t="str">
        <x:v>赣</x:v>
      </x:c>
      <x:c r="I257" s="20" t="str"/>
      <x:c r="J257" s="20" t="str">
        <x:v>634D [TGH
1]</x:v>
      </x:c>
      <x:c r="K257" s="20" t="str"/>
      <x:c r="L257" s="20" t="str">
        <x:v>U+625E</x:v>
      </x:c>
      <x:c r="M257" s="20" t="str">
        <x:v>CJK Unified Ideographs</x:v>
      </x:c>
      <x:c r="N257" s="20" t="str">
        <x:v>Unicode code point recorded</x:v>
      </x:c>
      <x:c r="O257" s="20" t="str">
        <x:v>Low</x:v>
      </x:c>
      <x:c r="P257" s="20" t="str">
        <x:v>Structured</x:v>
      </x:c>
      <x:c r="Q257" s="20" t="str">
        <x:v>2.1.020 | 625E [TGH 3] | 干 | 赣 | 634D [TGH / 1] | </x:v>
      </x:c>
      <x:c r="R257" s="20" t="str">
        <x:v>Uploaded: n2924-SecondStageSimplificationStatusv3.pdf</x:v>
      </x:c>
    </x:row>
    <x:row r="258">
      <x:c r="A258" s="20" t="str">
        <x:v>2.1.021</x:v>
      </x:c>
      <x:c r="B258" s="20" t="n">
        <x:v>38</x:v>
      </x:c>
      <x:c r="C258" s="20" t="str">
        <x:v>Part Two</x:v>
      </x:c>
      <x:c r="D258" s="20" t="str">
        <x:v>2.1</x:v>
      </x:c>
      <x:c r="E258" s="20" t="str">
        <x:v>Part Two — Homophonic Substitutions</x:v>
      </x:c>
      <x:c r="F258" s="20" t="str">
        <x:v>73AF [TGH 1]</x:v>
      </x:c>
      <x:c r="G258" s="20" t="str">
        <x:v>扞</x:v>
      </x:c>
      <x:c r="H258" s="20" t="str">
        <x:v>捍</x:v>
      </x:c>
      <x:c r="I258" s="20" t="str"/>
      <x:c r="J258" s="20" t="str">
        <x:v>5BF0 [TGH
2]</x:v>
      </x:c>
      <x:c r="K258" s="20" t="str"/>
      <x:c r="L258" s="20" t="str">
        <x:v>U+73AF</x:v>
      </x:c>
      <x:c r="M258" s="20" t="str">
        <x:v>CJK Unified Ideographs</x:v>
      </x:c>
      <x:c r="N258" s="20" t="str">
        <x:v>Unicode code point recorded</x:v>
      </x:c>
      <x:c r="O258" s="20" t="str">
        <x:v>Low</x:v>
      </x:c>
      <x:c r="P258" s="20" t="str">
        <x:v>Structured</x:v>
      </x:c>
      <x:c r="Q258" s="20" t="str">
        <x:v>2.1.021 | 73AF [TGH 1] | 扞 | 捍 | 5BF0 [TGH / 2] | </x:v>
      </x:c>
      <x:c r="R258" s="20" t="str">
        <x:v>Uploaded: n2924-SecondStageSimplificationStatusv3.pdf</x:v>
      </x:c>
    </x:row>
    <x:row r="259">
      <x:c r="A259" s="20" t="str">
        <x:v>2.1.022</x:v>
      </x:c>
      <x:c r="B259" s="20" t="n">
        <x:v>38</x:v>
      </x:c>
      <x:c r="C259" s="20" t="str">
        <x:v>Part Two</x:v>
      </x:c>
      <x:c r="D259" s="20" t="str">
        <x:v>2.1</x:v>
      </x:c>
      <x:c r="E259" s="20" t="str">
        <x:v>Part Two — Homophonic Substitutions</x:v>
      </x:c>
      <x:c r="F259" s="20" t="str">
        <x:v>8F89 [TGH 1]</x:v>
      </x:c>
      <x:c r="G259" s="20" t="str">
        <x:v>环</x:v>
      </x:c>
      <x:c r="H259" s="20" t="str">
        <x:v>寰</x:v>
      </x:c>
      <x:c r="I259" s="20" t="str"/>
      <x:c r="J259" s="20" t="str">
        <x:v>5FBD [TGH
1]</x:v>
      </x:c>
      <x:c r="K259" s="20" t="str"/>
      <x:c r="L259" s="20" t="str">
        <x:v>U+8F89</x:v>
      </x:c>
      <x:c r="M259" s="20" t="str">
        <x:v>CJK Unified Ideographs</x:v>
      </x:c>
      <x:c r="N259" s="20" t="str">
        <x:v>Unicode code point recorded</x:v>
      </x:c>
      <x:c r="O259" s="20" t="str">
        <x:v>Low</x:v>
      </x:c>
      <x:c r="P259" s="20" t="str">
        <x:v>Structured</x:v>
      </x:c>
      <x:c r="Q259" s="20" t="str">
        <x:v>2.1.022 | 8F89 [TGH 1] | 环 | 寰 | 5FBD [TGH / 1] | </x:v>
      </x:c>
      <x:c r="R259" s="20" t="str">
        <x:v>Uploaded: n2924-SecondStageSimplificationStatusv3.pdf</x:v>
      </x:c>
    </x:row>
    <x:row r="260">
      <x:c r="A260" s="20" t="str">
        <x:v>2.1.023</x:v>
      </x:c>
      <x:c r="B260" s="20" t="n">
        <x:v>38</x:v>
      </x:c>
      <x:c r="C260" s="20" t="str">
        <x:v>Part Two</x:v>
      </x:c>
      <x:c r="D260" s="20" t="str">
        <x:v>2.1</x:v>
      </x:c>
      <x:c r="E260" s="20" t="str">
        <x:v>Part Two — Homophonic Substitutions</x:v>
      </x:c>
      <x:c r="F260" s="20" t="str">
        <x:v>5FCC [TGH 1]</x:v>
      </x:c>
      <x:c r="G260" s="20" t="str">
        <x:v>辉</x:v>
      </x:c>
      <x:c r="H260" s="20" t="str">
        <x:v>徽</x:v>
      </x:c>
      <x:c r="I260" s="20" t="str"/>
      <x:c r="J260" s="20" t="str">
        <x:v>5AC9 [TGH
1]</x:v>
      </x:c>
      <x:c r="K260" s="20" t="str"/>
      <x:c r="L260" s="20" t="str">
        <x:v>U+5FCC</x:v>
      </x:c>
      <x:c r="M260" s="20" t="str">
        <x:v>CJK Unified Ideographs</x:v>
      </x:c>
      <x:c r="N260" s="20" t="str">
        <x:v>Unicode code point recorded</x:v>
      </x:c>
      <x:c r="O260" s="20" t="str">
        <x:v>Low</x:v>
      </x:c>
      <x:c r="P260" s="20" t="str">
        <x:v>Structured</x:v>
      </x:c>
      <x:c r="Q260" s="20" t="str">
        <x:v>2.1.023 | 5FCC [TGH 1] | 辉 | 徽 | 5AC9 [TGH / 1] | </x:v>
      </x:c>
      <x:c r="R260" s="20" t="str">
        <x:v>Uploaded: n2924-SecondStageSimplificationStatusv3.pdf</x:v>
      </x:c>
    </x:row>
    <x:row r="261">
      <x:c r="A261" s="20" t="str">
        <x:v>2.1.024</x:v>
      </x:c>
      <x:c r="B261" s="20" t="n">
        <x:v>38</x:v>
      </x:c>
      <x:c r="C261" s="20" t="str">
        <x:v>Part Two</x:v>
      </x:c>
      <x:c r="D261" s="20" t="str">
        <x:v>2.1</x:v>
      </x:c>
      <x:c r="E261" s="20" t="str">
        <x:v>Part Two — Homophonic Substitutions</x:v>
      </x:c>
      <x:c r="F261" s="20" t="str">
        <x:v>62E3 [TGH 1]</x:v>
      </x:c>
      <x:c r="G261" s="20" t="str">
        <x:v>忌</x:v>
      </x:c>
      <x:c r="H261" s="20" t="str">
        <x:v>嫉</x:v>
      </x:c>
      <x:c r="I261" s="20" t="str"/>
      <x:c r="J261" s="20" t="str">
        <x:v>6361 [TGH
1]</x:v>
      </x:c>
      <x:c r="K261" s="20" t="str"/>
      <x:c r="L261" s="20" t="str">
        <x:v>U+62E3</x:v>
      </x:c>
      <x:c r="M261" s="20" t="str">
        <x:v>CJK Unified Ideographs</x:v>
      </x:c>
      <x:c r="N261" s="20" t="str">
        <x:v>Unicode code point recorded</x:v>
      </x:c>
      <x:c r="O261" s="20" t="str">
        <x:v>Low</x:v>
      </x:c>
      <x:c r="P261" s="20" t="str">
        <x:v>Structured</x:v>
      </x:c>
      <x:c r="Q261" s="20" t="str">
        <x:v>2.1.024 | 62E3 [TGH 1] | 忌 | 嫉 | 6361 [TGH / 1] | </x:v>
      </x:c>
      <x:c r="R261" s="20" t="str">
        <x:v>Uploaded: n2924-SecondStageSimplificationStatusv3.pdf</x:v>
      </x:c>
    </x:row>
    <x:row r="262">
      <x:c r="A262" s="20" t="str">
        <x:v>2.1.025</x:v>
      </x:c>
      <x:c r="B262" s="20" t="n">
        <x:v>38</x:v>
      </x:c>
      <x:c r="C262" s="20" t="str">
        <x:v>Part Two</x:v>
      </x:c>
      <x:c r="D262" s="20" t="str">
        <x:v>2.1</x:v>
      </x:c>
      <x:c r="E262" s="20" t="str">
        <x:v>Part Two — Homophonic Substitutions</x:v>
      </x:c>
      <x:c r="F262" s="20" t="str">
        <x:v>⿰口⿱隹一</x:v>
      </x:c>
      <x:c r="G262" s="20" t="str">
        <x:v>拣
嚼</x:v>
      </x:c>
      <x:c r="H262" s="20" t="str">
        <x:v>捡
嚼</x:v>
      </x:c>
      <x:c r="I262" s="20" t="str"/>
      <x:c r="J262" s="20" t="str">
        <x:v>56BC [TGH
1]</x:v>
      </x:c>
      <x:c r="K262" s="20" t="str">
        <x:v>This is 噍 submitted
to 2.9.012 and
2.9.013</x:v>
      </x:c>
      <x:c r="L262" s="20" t="str"/>
      <x:c r="M262" s="20" t="str"/>
      <x:c r="N262" s="20" t="str">
        <x:v>IDS / unencoded in 2022 source — review against Unicode 17 / GEJ</x:v>
      </x:c>
      <x:c r="O262" s="20" t="str">
        <x:v>High</x:v>
      </x:c>
      <x:c r="P262" s="20" t="str">
        <x:v>Structured</x:v>
      </x:c>
      <x:c r="Q262" s="20" t="str">
        <x:v>2.1.025 | ⿰口⿱隹一 | 拣 / 嚼 | 捡 / 嚼 | 56BC [TGH / 1] | This is 噍 submitted / to 2.9.012 and / 2.9.013</x:v>
      </x:c>
      <x:c r="R262" s="20" t="str">
        <x:v>Uploaded: n2924-SecondStageSimplificationStatusv3.pdf</x:v>
      </x:c>
    </x:row>
    <x:row r="263">
      <x:c r="A263" s="20" t="str">
        <x:v>2.1.026</x:v>
      </x:c>
      <x:c r="B263" s="20" t="n">
        <x:v>38</x:v>
      </x:c>
      <x:c r="C263" s="20" t="str">
        <x:v>Part Two</x:v>
      </x:c>
      <x:c r="D263" s="20" t="str">
        <x:v>2.1</x:v>
      </x:c>
      <x:c r="E263" s="20" t="str">
        <x:v>Part Two — Homophonic Substitutions</x:v>
      </x:c>
      <x:c r="F263" s="20" t="str">
        <x:v>6212 [TGH 1]</x:v>
      </x:c>
      <x:c r="G263" s="20" t="str"/>
      <x:c r="H263" s="20" t="str"/>
      <x:c r="I263" s="20" t="str"/>
      <x:c r="J263" s="20" t="str">
        <x:v>8BEB [TGH
1]</x:v>
      </x:c>
      <x:c r="K263" s="20" t="str"/>
      <x:c r="L263" s="20" t="str">
        <x:v>U+6212</x:v>
      </x:c>
      <x:c r="M263" s="20" t="str">
        <x:v>CJK Unified Ideographs</x:v>
      </x:c>
      <x:c r="N263" s="20" t="str">
        <x:v>Unicode code point recorded</x:v>
      </x:c>
      <x:c r="O263" s="20" t="str">
        <x:v>Low</x:v>
      </x:c>
      <x:c r="P263" s="20" t="str">
        <x:v>Structured</x:v>
      </x:c>
      <x:c r="Q263" s="20" t="str">
        <x:v>2.1.026 | 6212 [TGH 1] |  |  | 8BEB [TGH / 1] | </x:v>
      </x:c>
      <x:c r="R263" s="20" t="str">
        <x:v>Uploaded: n2924-SecondStageSimplificationStatusv3.pdf</x:v>
      </x:c>
    </x:row>
    <x:row r="264">
      <x:c r="A264" s="20" t="str">
        <x:v>2.1.027</x:v>
      </x:c>
      <x:c r="B264" s="20" t="n">
        <x:v>38</x:v>
      </x:c>
      <x:c r="C264" s="20" t="str">
        <x:v>Part Two</x:v>
      </x:c>
      <x:c r="D264" s="20" t="str">
        <x:v>2.1</x:v>
      </x:c>
      <x:c r="E264" s="20" t="str">
        <x:v>Part Two — Homophonic Substitutions</x:v>
      </x:c>
      <x:c r="F264" s="20" t="str">
        <x:v>2561E
[UNUSED]</x:v>
      </x:c>
      <x:c r="G264" s="20" t="str">
        <x:v>戒
𥘞𥘞</x:v>
      </x:c>
      <x:c r="H264" s="20" t="str">
        <x:v>诫</x:v>
      </x:c>
      <x:c r="I264" s="20" t="str"/>
      <x:c r="J264" s="20" t="str">
        <x:v>895F [TGH
1]</x:v>
      </x:c>
      <x:c r="K264" s="20" t="str">
        <x:v>This is 衿 submitted
to 2.9.006</x:v>
      </x:c>
      <x:c r="L264" s="20" t="str">
        <x:v>U+2561E</x:v>
      </x:c>
      <x:c r="M264" s="20" t="str">
        <x:v>CJK Unified Ideographs Extension B</x:v>
      </x:c>
      <x:c r="N264" s="20" t="str">
        <x:v>Unicode code point recorded</x:v>
      </x:c>
      <x:c r="O264" s="20" t="str">
        <x:v>Low</x:v>
      </x:c>
      <x:c r="P264" s="20" t="str">
        <x:v>Structured</x:v>
      </x:c>
      <x:c r="Q264" s="20" t="str">
        <x:v>2.1.027 | 2561E / [UNUSED] | 戒 / 𥘞𥘞 | 诫 | 895F [TGH / 1] | This is 衿 submitted / to 2.9.006</x:v>
      </x:c>
      <x:c r="R264" s="20" t="str">
        <x:v>Uploaded: n2924-SecondStageSimplificationStatusv3.pdf</x:v>
      </x:c>
    </x:row>
    <x:row r="265">
      <x:c r="A265" s="20" t="str">
        <x:v>2.1.028</x:v>
      </x:c>
      <x:c r="B265" s="20" t="n">
        <x:v>38</x:v>
      </x:c>
      <x:c r="C265" s="20" t="str">
        <x:v>Part Two</x:v>
      </x:c>
      <x:c r="D265" s="20" t="str">
        <x:v>2.1</x:v>
      </x:c>
      <x:c r="E265" s="20" t="str">
        <x:v>Part Two — Homophonic Substitutions</x:v>
      </x:c>
      <x:c r="F265" s="20" t="str">
        <x:v>5DE8 [TGH 1]</x:v>
      </x:c>
      <x:c r="G265" s="20" t="str">
        <x:v>巨</x:v>
      </x:c>
      <x:c r="H265" s="20" t="str">
        <x:v>襟
飓
(飓)</x:v>
      </x:c>
      <x:c r="I265" s="20" t="str"/>
      <x:c r="J265" s="20" t="str">
        <x:v>98D3 [TGH
2]</x:v>
      </x:c>
      <x:c r="K265" s="20" t="str">
        <x:v>Completes the
simplification of
1.2.005</x:v>
      </x:c>
      <x:c r="L265" s="20" t="str">
        <x:v>U+5DE8</x:v>
      </x:c>
      <x:c r="M265" s="20" t="str">
        <x:v>CJK Unified Ideographs</x:v>
      </x:c>
      <x:c r="N265" s="20" t="str">
        <x:v>Unicode code point recorded</x:v>
      </x:c>
      <x:c r="O265" s="20" t="str">
        <x:v>Low</x:v>
      </x:c>
      <x:c r="P265" s="20" t="str">
        <x:v>Structured</x:v>
      </x:c>
      <x:c r="Q265" s="20" t="str">
        <x:v>2.1.028 | 5DE8 [TGH 1] | 巨 | 襟 / 飓 / (飓) | 98D3 [TGH / 2] | Completes the / simplification of / 1.2.005</x:v>
      </x:c>
      <x:c r="R265" s="20" t="str">
        <x:v>Uploaded: n2924-SecondStageSimplificationStatusv3.pdf</x:v>
      </x:c>
    </x:row>
    <x:row r="266">
      <x:c r="A266" s="20" t="str">
        <x:v>2.1.029</x:v>
      </x:c>
      <x:c r="B266" s="20" t="n">
        <x:v>39</x:v>
      </x:c>
      <x:c r="C266" s="20" t="str">
        <x:v>Part Two</x:v>
      </x:c>
      <x:c r="D266" s="20" t="str">
        <x:v>2.1</x:v>
      </x:c>
      <x:c r="E266" s="20" t="str">
        <x:v>Part Two — Homophonic Substitutions</x:v>
      </x:c>
      <x:c r="F266" s="20" t="str">
        <x:v>5321 [TGH 2]</x:v>
      </x:c>
      <x:c r="G266" s="20" t="str">
        <x:v>匡</x:v>
      </x:c>
      <x:c r="H266" s="20" t="str">
        <x:v>筐框眶
诓</x:v>
      </x:c>
      <x:c r="I266" s="20" t="str"/>
      <x:c r="J266" s="20" t="str">
        <x:v>7B50 [TGH
1]
6846 [TGH
1]
7736 [TGH
1]
8BD3 [TGH
2]</x:v>
      </x:c>
      <x:c r="K266" s="20" t="str"/>
      <x:c r="L266" s="20" t="str">
        <x:v>U+5321</x:v>
      </x:c>
      <x:c r="M266" s="20" t="str">
        <x:v>CJK Unified Ideographs</x:v>
      </x:c>
      <x:c r="N266" s="20" t="str">
        <x:v>Unicode code point recorded</x:v>
      </x:c>
      <x:c r="O266" s="20" t="str">
        <x:v>Low</x:v>
      </x:c>
      <x:c r="P266" s="20" t="str">
        <x:v>Structured</x:v>
      </x:c>
      <x:c r="Q266" s="20" t="str">
        <x:v>2.1.029 | 5321 [TGH 2] | 匡 | 筐框眶 / 诓 | 7B50 [TGH / 1] / 6846 [TGH / 1] / 7736 [TGH / 1] / 8BD3 [TGH / 2] | </x:v>
      </x:c>
      <x:c r="R266" s="20" t="str">
        <x:v>Uploaded: n2924-SecondStageSimplificationStatusv3.pdf</x:v>
      </x:c>
    </x:row>
    <x:row r="267">
      <x:c r="A267" s="20" t="str">
        <x:v>2.1.030</x:v>
      </x:c>
      <x:c r="B267" s="20" t="n">
        <x:v>39</x:v>
      </x:c>
      <x:c r="C267" s="20" t="str">
        <x:v>Part Two</x:v>
      </x:c>
      <x:c r="D267" s="20" t="str">
        <x:v>2.1</x:v>
      </x:c>
      <x:c r="E267" s="20" t="str">
        <x:v>Part Two — Homophonic Substitutions</x:v>
      </x:c>
      <x:c r="F267" s="20" t="str">
        <x:v>8FDE [TGH 1]</x:v>
      </x:c>
      <x:c r="G267" s="20" t="str"/>
      <x:c r="H267" s="20" t="str"/>
      <x:c r="I267" s="20" t="str"/>
      <x:c r="J267" s="20" t="str">
        <x:v>9570 [TGH
1]</x:v>
      </x:c>
      <x:c r="K267" s="20" t="str"/>
      <x:c r="L267" s="20" t="str">
        <x:v>U+8FDE</x:v>
      </x:c>
      <x:c r="M267" s="20" t="str">
        <x:v>CJK Unified Ideographs</x:v>
      </x:c>
      <x:c r="N267" s="20" t="str">
        <x:v>Unicode code point recorded</x:v>
      </x:c>
      <x:c r="O267" s="20" t="str">
        <x:v>Low</x:v>
      </x:c>
      <x:c r="P267" s="20" t="str">
        <x:v>Structured</x:v>
      </x:c>
      <x:c r="Q267" s="20" t="str">
        <x:v>2.1.030 | 8FDE [TGH 1] |  |  | 9570 [TGH / 1] | </x:v>
      </x:c>
      <x:c r="R267" s="20" t="str">
        <x:v>Uploaded: n2924-SecondStageSimplificationStatusv3.pdf</x:v>
      </x:c>
    </x:row>
    <x:row r="268">
      <x:c r="A268" s="20" t="str">
        <x:v>2.1.031</x:v>
      </x:c>
      <x:c r="B268" s="20" t="n">
        <x:v>39</x:v>
      </x:c>
      <x:c r="C268" s="20" t="str">
        <x:v>Part Two</x:v>
      </x:c>
      <x:c r="D268" s="20" t="str">
        <x:v>2.1</x:v>
      </x:c>
      <x:c r="E268" s="20" t="str">
        <x:v>Part Two — Homophonic Substitutions</x:v>
      </x:c>
      <x:c r="F268" s="20" t="str">
        <x:v>948C [TGH 2]</x:v>
      </x:c>
      <x:c r="G268" s="20" t="str">
        <x:v>连</x:v>
      </x:c>
      <x:c r="H268" s="20" t="str">
        <x:v>镰</x:v>
      </x:c>
      <x:c r="I268" s="20" t="str"/>
      <x:c r="J268" s="20" t="str">
        <x:v>9563 [TGH
2]</x:v>
      </x:c>
      <x:c r="K268" s="20" t="str"/>
      <x:c r="L268" s="20" t="str">
        <x:v>U+948C</x:v>
      </x:c>
      <x:c r="M268" s="20" t="str">
        <x:v>CJK Unified Ideographs</x:v>
      </x:c>
      <x:c r="N268" s="20" t="str">
        <x:v>Unicode code point recorded</x:v>
      </x:c>
      <x:c r="O268" s="20" t="str">
        <x:v>Low</x:v>
      </x:c>
      <x:c r="P268" s="20" t="str">
        <x:v>Structured</x:v>
      </x:c>
      <x:c r="Q268" s="20" t="str">
        <x:v>2.1.031 | 948C [TGH 2] | 连 | 镰 | 9563 [TGH / 2] | </x:v>
      </x:c>
      <x:c r="R268" s="20" t="str">
        <x:v>Uploaded: n2924-SecondStageSimplificationStatusv3.pdf</x:v>
      </x:c>
    </x:row>
    <x:row r="269">
      <x:c r="A269" s="20" t="str">
        <x:v>2.1.032</x:v>
      </x:c>
      <x:c r="B269" s="20" t="n">
        <x:v>39</x:v>
      </x:c>
      <x:c r="C269" s="20" t="str">
        <x:v>Part Two</x:v>
      </x:c>
      <x:c r="D269" s="20" t="str">
        <x:v>2.1</x:v>
      </x:c>
      <x:c r="E269" s="20" t="str">
        <x:v>Part Two — Homophonic Substitutions</x:v>
      </x:c>
      <x:c r="F269" s="20" t="str">
        <x:v>3070821
(fr. 6E9C
[TGH 1] and
others)</x:v>
      </x:c>
      <x:c r="G269" s="20" t="str">
        <x:v>钌
镏</x:v>
      </x:c>
      <x:c r="H269" s="20" t="str">
        <x:v>镣
镏
(镏)</x:v>
      </x:c>
      <x:c r="I269" s="20" t="str"/>
      <x:c r="J269" s="20" t="str">
        <x:v>954F [TGH
2]</x:v>
      </x:c>
      <x:c r="K269" s="20" t="str">
        <x:v>Completes the
simplification of
1.1.086</x:v>
      </x:c>
      <x:c r="L269" s="20" t="str"/>
      <x:c r="M269" s="20" t="str"/>
      <x:c r="N269" s="20" t="str">
        <x:v>No parseable code point — manual review</x:v>
      </x:c>
      <x:c r="O269" s="20" t="str">
        <x:v>Medium</x:v>
      </x:c>
      <x:c r="P269" s="20" t="str">
        <x:v>Structured</x:v>
      </x:c>
      <x:c r="Q269" s="20" t="str">
        <x:v>2.1.032 | 3070821 / (fr. 6E9C / [TGH 1] and / others) | 钌 / 镏 | 镣 / 镏 / (镏) | 954F [TGH / 2] | Completes the / simplification of / 1.1.086</x:v>
      </x:c>
      <x:c r="R269" s="20" t="str">
        <x:v>Uploaded: n2924-SecondStageSimplificationStatusv3.pdf</x:v>
      </x:c>
    </x:row>
    <x:row r="270">
      <x:c r="A270" s="20" t="str">
        <x:v>2.1.033</x:v>
      </x:c>
      <x:c r="B270" s="20" t="n">
        <x:v>39</x:v>
      </x:c>
      <x:c r="C270" s="20" t="str">
        <x:v>Part Two</x:v>
      </x:c>
      <x:c r="D270" s="20" t="str">
        <x:v>2.1</x:v>
      </x:c>
      <x:c r="E270" s="20" t="str">
        <x:v>Part Two — Homophonic Substitutions</x:v>
      </x:c>
      <x:c r="F270" s="20" t="str">
        <x:v>9C81 [TGH 1]</x:v>
      </x:c>
      <x:c r="G270" s="20" t="str"/>
      <x:c r="H270" s="20" t="str"/>
      <x:c r="I270" s="20" t="str"/>
      <x:c r="J270" s="20" t="str">
        <x:v>565C [TGH
2]</x:v>
      </x:c>
      <x:c r="K270" s="20" t="str"/>
      <x:c r="L270" s="20" t="str">
        <x:v>U+9C81</x:v>
      </x:c>
      <x:c r="M270" s="20" t="str">
        <x:v>CJK Unified Ideographs</x:v>
      </x:c>
      <x:c r="N270" s="20" t="str">
        <x:v>Unicode code point recorded</x:v>
      </x:c>
      <x:c r="O270" s="20" t="str">
        <x:v>Low</x:v>
      </x:c>
      <x:c r="P270" s="20" t="str">
        <x:v>Structured</x:v>
      </x:c>
      <x:c r="Q270" s="20" t="str">
        <x:v>2.1.033 | 9C81 [TGH 1] |  |  | 565C [TGH / 2] | </x:v>
      </x:c>
      <x:c r="R270" s="20" t="str">
        <x:v>Uploaded: n2924-SecondStageSimplificationStatusv3.pdf</x:v>
      </x:c>
    </x:row>
    <x:row r="271">
      <x:c r="A271" s="20" t="str">
        <x:v>2.1.034</x:v>
      </x:c>
      <x:c r="B271" s="20" t="n">
        <x:v>39</x:v>
      </x:c>
      <x:c r="C271" s="20" t="str">
        <x:v>Part Two</x:v>
      </x:c>
      <x:c r="D271" s="20" t="str">
        <x:v>2.1</x:v>
      </x:c>
      <x:c r="E271" s="20" t="str">
        <x:v>Part Two — Homophonic Substitutions</x:v>
      </x:c>
      <x:c r="F271" s="20" t="str">
        <x:v>5415 [TGH 1]</x:v>
      </x:c>
      <x:c r="G271" s="20" t="str">
        <x:v>鲁
吕</x:v>
      </x:c>
      <x:c r="H271" s="20" t="str">
        <x:v>噜
旅膂</x:v>
      </x:c>
      <x:c r="I271" s="20" t="str"/>
      <x:c r="J271" s="20" t="str">
        <x:v>65C5 [TGH
1]
8182 [TGH
2]</x:v>
      </x:c>
      <x:c r="K271" s="20" t="str"/>
      <x:c r="L271" s="20" t="str">
        <x:v>U+5415</x:v>
      </x:c>
      <x:c r="M271" s="20" t="str">
        <x:v>CJK Unified Ideographs</x:v>
      </x:c>
      <x:c r="N271" s="20" t="str">
        <x:v>Unicode code point recorded</x:v>
      </x:c>
      <x:c r="O271" s="20" t="str">
        <x:v>Low</x:v>
      </x:c>
      <x:c r="P271" s="20" t="str">
        <x:v>Structured</x:v>
      </x:c>
      <x:c r="Q271" s="20" t="str">
        <x:v>2.1.034 | 5415 [TGH 1] | 鲁 / 吕 | 噜 / 旅膂 | 65C5 [TGH / 1] / 8182 [TGH / 2] | </x:v>
      </x:c>
      <x:c r="R271" s="20" t="str">
        <x:v>Uploaded: n2924-SecondStageSimplificationStatusv3.pdf</x:v>
      </x:c>
    </x:row>
    <x:row r="272">
      <x:c r="A272" s="20" t="str">
        <x:v>2.1.035</x:v>
      </x:c>
      <x:c r="B272" s="20" t="n">
        <x:v>39</x:v>
      </x:c>
      <x:c r="C272" s="20" t="str">
        <x:v>Part Two</x:v>
      </x:c>
      <x:c r="D272" s="20" t="str">
        <x:v>2.1</x:v>
      </x:c>
      <x:c r="E272" s="20" t="str">
        <x:v>Part Two — Homophonic Substitutions</x:v>
      </x:c>
      <x:c r="F272" s="20" t="str">
        <x:v>200DC (fr.
7709 [TGH 1]
and others)</x:v>
      </x:c>
      <x:c r="G272" s="20" t="str">
        <x:v>𠃜𠃜</x:v>
      </x:c>
      <x:c r="H272" s="20" t="str">
        <x:v>湄
(湄)
楣
(楣)
鹛</x:v>
      </x:c>
      <x:c r="I272" s="20" t="str"/>
      <x:c r="J272" s="20" t="str">
        <x:v>6E44 [TGH
2]
6963 [TGH
2]
9E5B [TGH
2]</x:v>
      </x:c>
      <x:c r="K272" s="20" t="str">
        <x:v>Completes the
simplification of
1.2.007</x:v>
      </x:c>
      <x:c r="L272" s="20" t="str">
        <x:v>U+200DC</x:v>
      </x:c>
      <x:c r="M272" s="20" t="str">
        <x:v>CJK Unified Ideographs Extension B</x:v>
      </x:c>
      <x:c r="N272" s="20" t="str">
        <x:v>Unicode code point recorded</x:v>
      </x:c>
      <x:c r="O272" s="20" t="str">
        <x:v>Low</x:v>
      </x:c>
      <x:c r="P272" s="20" t="str">
        <x:v>Structured</x:v>
      </x:c>
      <x:c r="Q272" s="20" t="str">
        <x:v>2.1.035 | 200DC (fr. / 7709 [TGH 1] / and others) | 𠃜𠃜 | 湄 / (湄) / 楣 / (楣) / 鹛 | 6E44 [TGH / 2] / 6963 [TGH / 2] / 9E5B [TGH / 2] | Completes the / simplification of / 1.2.007</x:v>
      </x:c>
      <x:c r="R272" s="20" t="str">
        <x:v>Uploaded: n2924-SecondStageSimplificationStatusv3.pdf</x:v>
      </x:c>
    </x:row>
    <x:row r="273">
      <x:c r="A273" s="20" t="str">
        <x:v>2.1.036</x:v>
      </x:c>
      <x:c r="B273" s="20" t="n">
        <x:v>39</x:v>
      </x:c>
      <x:c r="C273" s="20" t="str">
        <x:v>Part Two</x:v>
      </x:c>
      <x:c r="D273" s="20" t="str">
        <x:v>2.1</x:v>
      </x:c>
      <x:c r="E273" s="20" t="str">
        <x:v>Part Two — Homophonic Substitutions</x:v>
      </x:c>
      <x:c r="F273" s="20" t="str">
        <x:v>5B93 [TGH 2]</x:v>
      </x:c>
      <x:c r="G273" s="20" t="str">
        <x:v>宓</x:v>
      </x:c>
      <x:c r="H273" s="20" t="str">
        <x:v>(鹛)
蜜密</x:v>
      </x:c>
      <x:c r="I273" s="20" t="str"/>
      <x:c r="J273" s="20" t="str">
        <x:v>871C [TGH
1]
5BC6 [TGH
1]</x:v>
      </x:c>
      <x:c r="K273" s="20" t="str"/>
      <x:c r="L273" s="20" t="str">
        <x:v>U+5B93</x:v>
      </x:c>
      <x:c r="M273" s="20" t="str">
        <x:v>CJK Unified Ideographs</x:v>
      </x:c>
      <x:c r="N273" s="20" t="str">
        <x:v>Unicode code point recorded</x:v>
      </x:c>
      <x:c r="O273" s="20" t="str">
        <x:v>Low</x:v>
      </x:c>
      <x:c r="P273" s="20" t="str">
        <x:v>Structured</x:v>
      </x:c>
      <x:c r="Q273" s="20" t="str">
        <x:v>2.1.036 | 5B93 [TGH 2] | 宓 | (鹛) / 蜜密 | 871C [TGH / 1] / 5BC6 [TGH / 1] | </x:v>
      </x:c>
      <x:c r="R273" s="20" t="str">
        <x:v>Uploaded: n2924-SecondStageSimplificationStatusv3.pdf</x:v>
      </x:c>
    </x:row>
    <x:row r="274">
      <x:c r="A274" s="20" t="str">
        <x:v>2.1.037</x:v>
      </x:c>
      <x:c r="B274" s="20" t="n">
        <x:v>40</x:v>
      </x:c>
      <x:c r="C274" s="20" t="str">
        <x:v>Part Two</x:v>
      </x:c>
      <x:c r="D274" s="20" t="str">
        <x:v>2.1</x:v>
      </x:c>
      <x:c r="E274" s="20" t="str">
        <x:v>Part Two — Homophonic Substitutions</x:v>
      </x:c>
      <x:c r="F274" s="20" t="str">
        <x:v>79D2 [TGH 1]</x:v>
      </x:c>
      <x:c r="G274" s="20" t="str"/>
      <x:c r="H274" s="20" t="str"/>
      <x:c r="I274" s="20" t="str"/>
      <x:c r="J274" s="20" t="str">
        <x:v>85D0 [TGH
1]</x:v>
      </x:c>
      <x:c r="K274" s="20" t="str"/>
      <x:c r="L274" s="20" t="str">
        <x:v>U+79D2</x:v>
      </x:c>
      <x:c r="M274" s="20" t="str">
        <x:v>CJK Unified Ideographs</x:v>
      </x:c>
      <x:c r="N274" s="20" t="str">
        <x:v>Unicode code point recorded</x:v>
      </x:c>
      <x:c r="O274" s="20" t="str">
        <x:v>Low</x:v>
      </x:c>
      <x:c r="P274" s="20" t="str">
        <x:v>Structured</x:v>
      </x:c>
      <x:c r="Q274" s="20" t="str">
        <x:v>2.1.037 | 79D2 [TGH 1] |  |  | 85D0 [TGH / 1] | </x:v>
      </x:c>
      <x:c r="R274" s="20" t="str">
        <x:v>Uploaded: n2924-SecondStageSimplificationStatusv3.pdf</x:v>
      </x:c>
    </x:row>
    <x:row r="275">
      <x:c r="A275" s="20" t="str">
        <x:v>2.1.038</x:v>
      </x:c>
      <x:c r="B275" s="20" t="n">
        <x:v>40</x:v>
      </x:c>
      <x:c r="C275" s="20" t="str">
        <x:v>Part Two</x:v>
      </x:c>
      <x:c r="D275" s="20" t="str">
        <x:v>2.1</x:v>
      </x:c>
      <x:c r="E275" s="20" t="str">
        <x:v>Part Two — Homophonic Substitutions</x:v>
      </x:c>
      <x:c r="F275" s="20" t="str">
        <x:v>6CDE [TGH 1]</x:v>
      </x:c>
      <x:c r="G275" s="20" t="str">
        <x:v>秒</x:v>
      </x:c>
      <x:c r="H275" s="20" t="str">
        <x:v>藐</x:v>
      </x:c>
      <x:c r="I275" s="20" t="str"/>
      <x:c r="J275" s="20" t="str">
        <x:v>51DD [TGH
1]</x:v>
      </x:c>
      <x:c r="K275" s="20" t="str"/>
      <x:c r="L275" s="20" t="str">
        <x:v>U+6CDE</x:v>
      </x:c>
      <x:c r="M275" s="20" t="str">
        <x:v>CJK Unified Ideographs</x:v>
      </x:c>
      <x:c r="N275" s="20" t="str">
        <x:v>Unicode code point recorded</x:v>
      </x:c>
      <x:c r="O275" s="20" t="str">
        <x:v>Low</x:v>
      </x:c>
      <x:c r="P275" s="20" t="str">
        <x:v>Structured</x:v>
      </x:c>
      <x:c r="Q275" s="20" t="str">
        <x:v>2.1.038 | 6CDE [TGH 1] | 秒 | 藐 | 51DD [TGH / 1] | </x:v>
      </x:c>
      <x:c r="R275" s="20" t="str">
        <x:v>Uploaded: n2924-SecondStageSimplificationStatusv3.pdf</x:v>
      </x:c>
    </x:row>
    <x:row r="276">
      <x:c r="A276" s="20" t="str">
        <x:v>2.1.039</x:v>
      </x:c>
      <x:c r="B276" s="20" t="n">
        <x:v>40</x:v>
      </x:c>
      <x:c r="C276" s="20" t="str">
        <x:v>Part Two</x:v>
      </x:c>
      <x:c r="D276" s="20" t="str">
        <x:v>2.1</x:v>
      </x:c>
      <x:c r="E276" s="20" t="str">
        <x:v>Part Two — Homophonic Substitutions</x:v>
      </x:c>
      <x:c r="F276" s="20" t="str">
        <x:v>⿰礻半</x:v>
      </x:c>
      <x:c r="G276" s="20" t="str">
        <x:v>泞
襻</x:v>
      </x:c>
      <x:c r="H276" s="20" t="str">
        <x:v>凝</x:v>
      </x:c>
      <x:c r="I276" s="20" t="str"/>
      <x:c r="J276" s="20" t="str">
        <x:v>897B [TGH
2]</x:v>
      </x:c>
      <x:c r="K276" s="20" t="str">
        <x:v>This is 袢 submitted
to 2.9.006</x:v>
      </x:c>
      <x:c r="L276" s="20" t="str"/>
      <x:c r="M276" s="20" t="str"/>
      <x:c r="N276" s="20" t="str">
        <x:v>IDS / unencoded in 2022 source — review against Unicode 17 / GEJ</x:v>
      </x:c>
      <x:c r="O276" s="20" t="str">
        <x:v>High</x:v>
      </x:c>
      <x:c r="P276" s="20" t="str">
        <x:v>Structured</x:v>
      </x:c>
      <x:c r="Q276" s="20" t="str">
        <x:v>2.1.039 | ⿰礻半 | 泞 / 襻 | 凝 | 897B [TGH / 2] | This is 袢 submitted / to 2.9.006</x:v>
      </x:c>
      <x:c r="R276" s="20" t="str">
        <x:v>Uploaded: n2924-SecondStageSimplificationStatusv3.pdf</x:v>
      </x:c>
    </x:row>
    <x:row r="277">
      <x:c r="A277" s="20" t="str">
        <x:v>2.1.040</x:v>
      </x:c>
      <x:c r="B277" s="20" t="n">
        <x:v>40</x:v>
      </x:c>
      <x:c r="C277" s="20" t="str">
        <x:v>Part Two</x:v>
      </x:c>
      <x:c r="D277" s="20" t="str">
        <x:v>2.1</x:v>
      </x:c>
      <x:c r="E277" s="20" t="str">
        <x:v>Part Two — Homophonic Substitutions</x:v>
      </x:c>
      <x:c r="F277" s="20" t="str">
        <x:v>8F9F [TGH 1]</x:v>
      </x:c>
      <x:c r="G277" s="20" t="str"/>
      <x:c r="H277" s="20" t="str">
        <x:v>襻</x:v>
      </x:c>
      <x:c r="I277" s="20" t="str"/>
      <x:c r="J277" s="20" t="str">
        <x:v>50FB [TGH
1]</x:v>
      </x:c>
      <x:c r="K277" s="20" t="str"/>
      <x:c r="L277" s="20" t="str">
        <x:v>U+8F9F</x:v>
      </x:c>
      <x:c r="M277" s="20" t="str">
        <x:v>CJK Unified Ideographs</x:v>
      </x:c>
      <x:c r="N277" s="20" t="str">
        <x:v>Unicode code point recorded</x:v>
      </x:c>
      <x:c r="O277" s="20" t="str">
        <x:v>Low</x:v>
      </x:c>
      <x:c r="P277" s="20" t="str">
        <x:v>Structured</x:v>
      </x:c>
      <x:c r="Q277" s="20" t="str">
        <x:v>2.1.040 | 8F9F [TGH 1] |  | 襻 | 50FB [TGH / 1] | </x:v>
      </x:c>
      <x:c r="R277" s="20" t="str">
        <x:v>Uploaded: n2924-SecondStageSimplificationStatusv3.pdf</x:v>
      </x:c>
    </x:row>
    <x:row r="278">
      <x:c r="A278" s="20" t="str">
        <x:v>2.1.041</x:v>
      </x:c>
      <x:c r="B278" s="20" t="n">
        <x:v>40</x:v>
      </x:c>
      <x:c r="C278" s="20" t="str">
        <x:v>Part Two</x:v>
      </x:c>
      <x:c r="D278" s="20" t="str">
        <x:v>2.1</x:v>
      </x:c>
      <x:c r="E278" s="20" t="str">
        <x:v>Part Two — Homophonic Substitutions</x:v>
      </x:c>
      <x:c r="F278" s="20" t="str">
        <x:v>62FC [TGH 1]</x:v>
      </x:c>
      <x:c r="G278" s="20" t="str">
        <x:v>辟</x:v>
      </x:c>
      <x:c r="H278" s="20" t="str">
        <x:v>僻</x:v>
      </x:c>
      <x:c r="I278" s="20" t="str"/>
      <x:c r="J278" s="20" t="str">
        <x:v>62DA [㎇
2312]</x:v>
      </x:c>
      <x:c r="K278" s="20" t="str"/>
      <x:c r="L278" s="20" t="str">
        <x:v>U+62FC</x:v>
      </x:c>
      <x:c r="M278" s="20" t="str">
        <x:v>CJK Unified Ideographs</x:v>
      </x:c>
      <x:c r="N278" s="20" t="str">
        <x:v>Unicode code point recorded</x:v>
      </x:c>
      <x:c r="O278" s="20" t="str">
        <x:v>Low</x:v>
      </x:c>
      <x:c r="P278" s="20" t="str">
        <x:v>Structured</x:v>
      </x:c>
      <x:c r="Q278" s="20" t="str">
        <x:v>2.1.041 | 62FC [TGH 1] | 辟 | 僻 | 62DA [㎇ / 2312] | </x:v>
      </x:c>
      <x:c r="R278" s="20" t="str">
        <x:v>Uploaded: n2924-SecondStageSimplificationStatusv3.pdf</x:v>
      </x:c>
    </x:row>
    <x:row r="279">
      <x:c r="A279" s="20" t="str">
        <x:v>2.1.042</x:v>
      </x:c>
      <x:c r="B279" s="20" t="n">
        <x:v>40</x:v>
      </x:c>
      <x:c r="C279" s="20" t="str">
        <x:v>Part Two</x:v>
      </x:c>
      <x:c r="D279" s="20" t="str">
        <x:v>2.1</x:v>
      </x:c>
      <x:c r="E279" s="20" t="str">
        <x:v>Part Two — Homophonic Substitutions</x:v>
      </x:c>
      <x:c r="F279" s="20" t="str">
        <x:v>3CBA
[UNUSED]
(fr. 6F06
[TGH 1])</x:v>
      </x:c>
      <x:c r="G279" s="20" t="str">
        <x:v>拼
㲺</x:v>
      </x:c>
      <x:c r="H279" s="20" t="str">
        <x:v>拚
柒</x:v>
      </x:c>
      <x:c r="I279" s="20" t="str"/>
      <x:c r="J279" s="20" t="str">
        <x:v>67D2 [TGH
1]</x:v>
      </x:c>
      <x:c r="K279" s="20" t="str"/>
      <x:c r="L279" s="20" t="str">
        <x:v>U+3CBA</x:v>
      </x:c>
      <x:c r="M279" s="20" t="str">
        <x:v>CJK Unified Ideographs Extension A</x:v>
      </x:c>
      <x:c r="N279" s="20" t="str">
        <x:v>Unicode code point recorded</x:v>
      </x:c>
      <x:c r="O279" s="20" t="str">
        <x:v>Low</x:v>
      </x:c>
      <x:c r="P279" s="20" t="str">
        <x:v>Structured</x:v>
      </x:c>
      <x:c r="Q279" s="20" t="str">
        <x:v>2.1.042 | 3CBA / [UNUSED] / (fr. 6F06 / [TGH 1]) | 拼 / 㲺 | 拚 / 柒 | 67D2 [TGH / 1] | </x:v>
      </x:c>
      <x:c r="R279" s="20" t="str">
        <x:v>Uploaded: n2924-SecondStageSimplificationStatusv3.pdf</x:v>
      </x:c>
    </x:row>
    <x:row r="280">
      <x:c r="A280" s="20" t="str">
        <x:v>2.1.043</x:v>
      </x:c>
      <x:c r="B280" s="20" t="n">
        <x:v>40</x:v>
      </x:c>
      <x:c r="C280" s="20" t="str">
        <x:v>Part Two</x:v>
      </x:c>
      <x:c r="D280" s="20" t="str">
        <x:v>2.1</x:v>
      </x:c>
      <x:c r="E280" s="20" t="str">
        <x:v>Part Two — Homophonic Substitutions</x:v>
      </x:c>
      <x:c r="F280" s="20" t="str">
        <x:v>4F65 [TGH 2]</x:v>
      </x:c>
      <x:c r="G280" s="20" t="str"/>
      <x:c r="H280" s="20" t="str"/>
      <x:c r="I280" s="20" t="str"/>
      <x:c r="J280" s="20" t="str">
        <x:v>7B7E [TGH
1]</x:v>
      </x:c>
      <x:c r="K280" s="20" t="str"/>
      <x:c r="L280" s="20" t="str">
        <x:v>U+4F65</x:v>
      </x:c>
      <x:c r="M280" s="20" t="str">
        <x:v>CJK Unified Ideographs</x:v>
      </x:c>
      <x:c r="N280" s="20" t="str">
        <x:v>Unicode code point recorded</x:v>
      </x:c>
      <x:c r="O280" s="20" t="str">
        <x:v>Low</x:v>
      </x:c>
      <x:c r="P280" s="20" t="str">
        <x:v>Structured</x:v>
      </x:c>
      <x:c r="Q280" s="20" t="str">
        <x:v>2.1.043 | 4F65 [TGH 2] |  |  | 7B7E [TGH / 1] | </x:v>
      </x:c>
      <x:c r="R280" s="20" t="str">
        <x:v>Uploaded: n2924-SecondStageSimplificationStatusv3.pdf</x:v>
      </x:c>
    </x:row>
    <x:row r="281">
      <x:c r="A281" s="20" t="str">
        <x:v>2.1.044</x:v>
      </x:c>
      <x:c r="B281" s="20" t="n">
        <x:v>40</x:v>
      </x:c>
      <x:c r="C281" s="20" t="str">
        <x:v>Part Two</x:v>
      </x:c>
      <x:c r="D281" s="20" t="str">
        <x:v>2.1</x:v>
      </x:c>
      <x:c r="E281" s="20" t="str">
        <x:v>Part Two — Homophonic Substitutions</x:v>
      </x:c>
      <x:c r="F281" s="20" t="str">
        <x:v>6C99 [TGH 1]</x:v>
      </x:c>
      <x:c r="G281" s="20" t="str">
        <x:v>佥</x:v>
      </x:c>
      <x:c r="H281" s="20" t="str">
        <x:v>签</x:v>
      </x:c>
      <x:c r="I281" s="20" t="str"/>
      <x:c r="J281" s="20" t="str">
        <x:v>7802 [TGH
1]</x:v>
      </x:c>
      <x:c r="K281" s="20" t="str"/>
      <x:c r="L281" s="20" t="str">
        <x:v>U+6C99</x:v>
      </x:c>
      <x:c r="M281" s="20" t="str">
        <x:v>CJK Unified Ideographs</x:v>
      </x:c>
      <x:c r="N281" s="20" t="str">
        <x:v>Unicode code point recorded</x:v>
      </x:c>
      <x:c r="O281" s="20" t="str">
        <x:v>Low</x:v>
      </x:c>
      <x:c r="P281" s="20" t="str">
        <x:v>Structured</x:v>
      </x:c>
      <x:c r="Q281" s="20" t="str">
        <x:v>2.1.044 | 6C99 [TGH 1] | 佥 | 签 | 7802 [TGH / 1] | </x:v>
      </x:c>
      <x:c r="R281" s="20" t="str">
        <x:v>Uploaded: n2924-SecondStageSimplificationStatusv3.pdf</x:v>
      </x:c>
    </x:row>
    <x:row r="282">
      <x:c r="A282" s="20" t="str">
        <x:v>2.1.045</x:v>
      </x:c>
      <x:c r="B282" s="20" t="n">
        <x:v>40</x:v>
      </x:c>
      <x:c r="C282" s="20" t="str">
        <x:v>Part Two</x:v>
      </x:c>
      <x:c r="D282" s="20" t="str">
        <x:v>2.1</x:v>
      </x:c>
      <x:c r="E282" s="20" t="str">
        <x:v>Part Two — Homophonic Substitutions</x:v>
      </x:c>
      <x:c r="F282" s="20" t="str">
        <x:v>57A7 [TGH 2]</x:v>
      </x:c>
      <x:c r="G282" s="20" t="str">
        <x:v>沙</x:v>
      </x:c>
      <x:c r="H282" s="20" t="str">
        <x:v>砂</x:v>
      </x:c>
      <x:c r="I282" s="20" t="str"/>
      <x:c r="J282" s="20" t="str">
        <x:v>5892 [TGH
2]</x:v>
      </x:c>
      <x:c r="K282" s="20" t="str"/>
      <x:c r="L282" s="20" t="str">
        <x:v>U+57A7</x:v>
      </x:c>
      <x:c r="M282" s="20" t="str">
        <x:v>CJK Unified Ideographs</x:v>
      </x:c>
      <x:c r="N282" s="20" t="str">
        <x:v>Unicode code point recorded</x:v>
      </x:c>
      <x:c r="O282" s="20" t="str">
        <x:v>Low</x:v>
      </x:c>
      <x:c r="P282" s="20" t="str">
        <x:v>Structured</x:v>
      </x:c>
      <x:c r="Q282" s="20" t="str">
        <x:v>2.1.045 | 57A7 [TGH 2] | 沙 | 砂 | 5892 [TGH / 2] | </x:v>
      </x:c>
      <x:c r="R282" s="20" t="str">
        <x:v>Uploaded: n2924-SecondStageSimplificationStatusv3.pdf</x:v>
      </x:c>
    </x:row>
    <x:row r="283">
      <x:c r="A283" s="20" t="str">
        <x:v>2.1.046</x:v>
      </x:c>
      <x:c r="B283" s="20" t="n">
        <x:v>40</x:v>
      </x:c>
      <x:c r="C283" s="20" t="str">
        <x:v>Part Two</x:v>
      </x:c>
      <x:c r="D283" s="20" t="str">
        <x:v>2.1</x:v>
      </x:c>
      <x:c r="E283" s="20" t="str">
        <x:v>Part Two — Homophonic Substitutions</x:v>
      </x:c>
      <x:c r="F283" s="20" t="str">
        <x:v>7958 [UNUSED
H] (fr. 7B97
[TGH 1])</x:v>
      </x:c>
      <x:c r="G283" s="20" t="str">
        <x:v>垧
祘</x:v>
      </x:c>
      <x:c r="H283" s="20" t="str">
        <x:v>墒
蒜</x:v>
      </x:c>
      <x:c r="I283" s="20" t="str"/>
      <x:c r="J283" s="20" t="str">
        <x:v>849C [TGH
1]</x:v>
      </x:c>
      <x:c r="K283" s="20" t="str"/>
      <x:c r="L283" s="20" t="str">
        <x:v>U+7958</x:v>
      </x:c>
      <x:c r="M283" s="20" t="str">
        <x:v>CJK Unified Ideographs</x:v>
      </x:c>
      <x:c r="N283" s="20" t="str">
        <x:v>Unicode code point recorded</x:v>
      </x:c>
      <x:c r="O283" s="20" t="str">
        <x:v>Low</x:v>
      </x:c>
      <x:c r="P283" s="20" t="str">
        <x:v>Structured</x:v>
      </x:c>
      <x:c r="Q283" s="20" t="str">
        <x:v>2.1.046 | 7958 [UNUSED / H] (fr. 7B97 / [TGH 1]) | 垧 / 祘 | 墒 / 蒜 | 849C [TGH / 1] | </x:v>
      </x:c>
      <x:c r="R283" s="20" t="str">
        <x:v>Uploaded: n2924-SecondStageSimplificationStatusv3.pdf</x:v>
      </x:c>
    </x:row>
    <x:row r="284">
      <x:c r="A284" s="20" t="str">
        <x:v>2.1.047</x:v>
      </x:c>
      <x:c r="B284" s="20" t="n">
        <x:v>40</x:v>
      </x:c>
      <x:c r="C284" s="20" t="str">
        <x:v>Part Two</x:v>
      </x:c>
      <x:c r="D284" s="20" t="str">
        <x:v>2.1</x:v>
      </x:c>
      <x:c r="E284" s="20" t="str">
        <x:v>Part Two — Homophonic Substitutions</x:v>
      </x:c>
      <x:c r="F284" s="20" t="str">
        <x:v>5763
[UNUSED]
(fr. 5802
[TGH 1])</x:v>
      </x:c>
      <x:c r="G284" s="20" t="str">
        <x:v>坣</x:v>
      </x:c>
      <x:c r="H284" s="20" t="str">
        <x:v>镗
(镗)
嘡
(嘡)
膛</x:v>
      </x:c>
      <x:c r="I284" s="20" t="str"/>
      <x:c r="J284" s="20" t="str">
        <x:v>9557 [TGH
2]
5621 [TGH
2]
819B [TGH
1]</x:v>
      </x:c>
      <x:c r="K284" s="20" t="str">
        <x:v>Completes the
simplification of
1.2.014</x:v>
      </x:c>
      <x:c r="L284" s="20" t="str">
        <x:v>U+5763</x:v>
      </x:c>
      <x:c r="M284" s="20" t="str">
        <x:v>CJK Unified Ideographs</x:v>
      </x:c>
      <x:c r="N284" s="20" t="str">
        <x:v>Unicode code point recorded</x:v>
      </x:c>
      <x:c r="O284" s="20" t="str">
        <x:v>Low</x:v>
      </x:c>
      <x:c r="P284" s="20" t="str">
        <x:v>Structured</x:v>
      </x:c>
      <x:c r="Q284" s="20" t="str">
        <x:v>2.1.047 | 5763 / [UNUSED] / (fr. 5802 / [TGH 1]) | 坣 | 镗 / (镗) / 嘡 / (嘡) / 膛 | 9557 [TGH / 2] / 5621 [TGH / 2] / 819B [TGH / 1] | Completes the / simplification of / 1.2.014</x:v>
      </x:c>
      <x:c r="R284" s="20" t="str">
        <x:v>Uploaded: n2924-SecondStageSimplificationStatusv3.pdf</x:v>
      </x:c>
    </x:row>
    <x:row r="285">
      <x:c r="A285" s="20" t="str">
        <x:v>2.1.048</x:v>
      </x:c>
      <x:c r="B285" s="20" t="n">
        <x:v>41</x:v>
      </x:c>
      <x:c r="C285" s="20" t="str">
        <x:v>Part Two</x:v>
      </x:c>
      <x:c r="D285" s="20" t="str">
        <x:v>2.1</x:v>
      </x:c>
      <x:c r="E285" s="20" t="str">
        <x:v>Part Two — Homophonic Substitutions</x:v>
      </x:c>
      <x:c r="F285" s="20" t="str">
        <x:v>Si㏕ar to
28473
[UNUSED H]</x:v>
      </x:c>
      <x:c r="G285" s="20" t="str">
        <x:v>霆</x:v>
      </x:c>
      <x:c r="H285" s="20" t="str">
        <x:v>霆庭</x:v>
      </x:c>
      <x:c r="I285" s="20" t="str"/>
      <x:c r="J285" s="20" t="str">
        <x:v>9706 [TGH
2]
5EAD [TGH
1]</x:v>
      </x:c>
      <x:c r="K285" s="20" t="str">
        <x:v>This is 廷 submitted
to 2.9.005</x:v>
      </x:c>
      <x:c r="L285" s="20" t="str"/>
      <x:c r="M285" s="20" t="str"/>
      <x:c r="N285" s="20" t="str">
        <x:v>No parseable code point — manual review</x:v>
      </x:c>
      <x:c r="O285" s="20" t="str">
        <x:v>Medium</x:v>
      </x:c>
      <x:c r="P285" s="20" t="str">
        <x:v>Structured</x:v>
      </x:c>
      <x:c r="Q285" s="20" t="str">
        <x:v>2.1.048 | Si㏕ar to / 28473 / [UNUSED H] | 霆 | 霆庭 | 9706 [TGH / 2] / 5EAD [TGH / 1] | This is 廷 submitted / to 2.9.005</x:v>
      </x:c>
      <x:c r="R285" s="20" t="str">
        <x:v>Uploaded: n2924-SecondStageSimplificationStatusv3.pdf</x:v>
      </x:c>
    </x:row>
    <x:row r="286">
      <x:c r="A286" s="20" t="str">
        <x:v>2.1.049</x:v>
      </x:c>
      <x:c r="B286" s="20" t="n">
        <x:v>41</x:v>
      </x:c>
      <x:c r="C286" s="20" t="str">
        <x:v>Part Two</x:v>
      </x:c>
      <x:c r="D286" s="20" t="str">
        <x:v>2.1</x:v>
      </x:c>
      <x:c r="E286" s="20" t="str">
        <x:v>Part Two — Homophonic Substitutions</x:v>
      </x:c>
      <x:c r="F286" s="20" t="str">
        <x:v>4EDD [TGH 3]</x:v>
      </x:c>
      <x:c r="G286" s="20" t="str"/>
      <x:c r="H286" s="20" t="str"/>
      <x:c r="I286" s="20" t="str"/>
      <x:c r="J286" s="20" t="str">
        <x:v>7AE5 [TGH
1]</x:v>
      </x:c>
      <x:c r="K286" s="20" t="str"/>
      <x:c r="L286" s="20" t="str">
        <x:v>U+4EDD</x:v>
      </x:c>
      <x:c r="M286" s="20" t="str">
        <x:v>CJK Unified Ideographs</x:v>
      </x:c>
      <x:c r="N286" s="20" t="str">
        <x:v>Unicode code point recorded</x:v>
      </x:c>
      <x:c r="O286" s="20" t="str">
        <x:v>Low</x:v>
      </x:c>
      <x:c r="P286" s="20" t="str">
        <x:v>Structured</x:v>
      </x:c>
      <x:c r="Q286" s="20" t="str">
        <x:v>2.1.049 | 4EDD [TGH 3] |  |  | 7AE5 [TGH / 1] | </x:v>
      </x:c>
      <x:c r="R286" s="20" t="str">
        <x:v>Uploaded: n2924-SecondStageSimplificationStatusv3.pdf</x:v>
      </x:c>
    </x:row>
    <x:row r="287">
      <x:c r="A287" s="20" t="str">
        <x:v>2.1.050</x:v>
      </x:c>
      <x:c r="B287" s="20" t="n">
        <x:v>41</x:v>
      </x:c>
      <x:c r="C287" s="20" t="str">
        <x:v>Part Two</x:v>
      </x:c>
      <x:c r="D287" s="20" t="str">
        <x:v>2.1</x:v>
      </x:c>
      <x:c r="E287" s="20" t="str">
        <x:v>Part Two — Homophonic Substitutions</x:v>
      </x:c>
      <x:c r="F287" s="20" t="str">
        <x:v>5B9B [TGH 1]</x:v>
      </x:c>
      <x:c r="G287" s="20" t="str">
        <x:v>仝</x:v>
      </x:c>
      <x:c r="H287" s="20" t="str">
        <x:v>童</x:v>
      </x:c>
      <x:c r="I287" s="20" t="str"/>
      <x:c r="J287" s="20" t="str">
        <x:v>8C4C [TGH
1]</x:v>
      </x:c>
      <x:c r="K287" s="20" t="str"/>
      <x:c r="L287" s="20" t="str">
        <x:v>U+5B9B</x:v>
      </x:c>
      <x:c r="M287" s="20" t="str">
        <x:v>CJK Unified Ideographs</x:v>
      </x:c>
      <x:c r="N287" s="20" t="str">
        <x:v>Unicode code point recorded</x:v>
      </x:c>
      <x:c r="O287" s="20" t="str">
        <x:v>Low</x:v>
      </x:c>
      <x:c r="P287" s="20" t="str">
        <x:v>Structured</x:v>
      </x:c>
      <x:c r="Q287" s="20" t="str">
        <x:v>2.1.050 | 5B9B [TGH 1] | 仝 | 童 | 8C4C [TGH / 1] | </x:v>
      </x:c>
      <x:c r="R287" s="20" t="str">
        <x:v>Uploaded: n2924-SecondStageSimplificationStatusv3.pdf</x:v>
      </x:c>
    </x:row>
    <x:row r="288">
      <x:c r="A288" s="20" t="str">
        <x:v>2.1.051</x:v>
      </x:c>
      <x:c r="B288" s="20" t="n">
        <x:v>41</x:v>
      </x:c>
      <x:c r="C288" s="20" t="str">
        <x:v>Part Two</x:v>
      </x:c>
      <x:c r="D288" s="20" t="str">
        <x:v>2.1</x:v>
      </x:c>
      <x:c r="E288" s="20" t="str">
        <x:v>Part Two — Homophonic Substitutions</x:v>
      </x:c>
      <x:c r="F288" s="20" t="str">
        <x:v>59D4 [TGH 1]</x:v>
      </x:c>
      <x:c r="G288" s="20" t="str">
        <x:v>宛
委</x:v>
      </x:c>
      <x:c r="H288" s="20" t="str">
        <x:v>豌
诿萎痿</x:v>
      </x:c>
      <x:c r="I288" s="20" t="str"/>
      <x:c r="J288" s="20" t="str">
        <x:v>8BFF [TGH
2]
840E [TGH
1]
75FF [TGH
2]</x:v>
      </x:c>
      <x:c r="K288" s="20" t="str"/>
      <x:c r="L288" s="20" t="str">
        <x:v>U+59D4</x:v>
      </x:c>
      <x:c r="M288" s="20" t="str">
        <x:v>CJK Unified Ideographs</x:v>
      </x:c>
      <x:c r="N288" s="20" t="str">
        <x:v>Unicode code point recorded</x:v>
      </x:c>
      <x:c r="O288" s="20" t="str">
        <x:v>Low</x:v>
      </x:c>
      <x:c r="P288" s="20" t="str">
        <x:v>Structured</x:v>
      </x:c>
      <x:c r="Q288" s="20" t="str">
        <x:v>2.1.051 | 59D4 [TGH 1] | 宛 / 委 | 豌 / 诿萎痿 | 8BFF [TGH / 2] / 840E [TGH / 1] / 75FF [TGH / 2] | </x:v>
      </x:c>
      <x:c r="R288" s="20" t="str">
        <x:v>Uploaded: n2924-SecondStageSimplificationStatusv3.pdf</x:v>
      </x:c>
    </x:row>
    <x:row r="289">
      <x:c r="A289" s="20" t="str">
        <x:v>2.1.052</x:v>
      </x:c>
      <x:c r="B289" s="20" t="n">
        <x:v>41</x:v>
      </x:c>
      <x:c r="C289" s="20" t="str">
        <x:v>Part Two</x:v>
      </x:c>
      <x:c r="D289" s="20" t="str">
        <x:v>2.1</x:v>
      </x:c>
      <x:c r="E289" s="20" t="str">
        <x:v>Part Two — Homophonic Substitutions</x:v>
      </x:c>
      <x:c r="F289" s="20" t="str">
        <x:v>5C09 [TGH 1]</x:v>
      </x:c>
      <x:c r="G289" s="20" t="str"/>
      <x:c r="H289" s="20" t="str"/>
      <x:c r="I289" s="20" t="str"/>
      <x:c r="J289" s="20" t="str">
        <x:v>6170 [TGH
1]</x:v>
      </x:c>
      <x:c r="K289" s="20" t="str"/>
      <x:c r="L289" s="20" t="str">
        <x:v>U+5C09</x:v>
      </x:c>
      <x:c r="M289" s="20" t="str">
        <x:v>CJK Unified Ideographs</x:v>
      </x:c>
      <x:c r="N289" s="20" t="str">
        <x:v>Unicode code point recorded</x:v>
      </x:c>
      <x:c r="O289" s="20" t="str">
        <x:v>Low</x:v>
      </x:c>
      <x:c r="P289" s="20" t="str">
        <x:v>Structured</x:v>
      </x:c>
      <x:c r="Q289" s="20" t="str">
        <x:v>2.1.052 | 5C09 [TGH 1] |  |  | 6170 [TGH / 1] | </x:v>
      </x:c>
      <x:c r="R289" s="20" t="str">
        <x:v>Uploaded: n2924-SecondStageSimplificationStatusv3.pdf</x:v>
      </x:c>
    </x:row>
    <x:row r="290">
      <x:c r="A290" s="20" t="str">
        <x:v>2.1.053</x:v>
      </x:c>
      <x:c r="B290" s="20" t="n">
        <x:v>41</x:v>
      </x:c>
      <x:c r="C290" s="20" t="str">
        <x:v>Part Two</x:v>
      </x:c>
      <x:c r="D290" s="20" t="str">
        <x:v>2.1</x:v>
      </x:c>
      <x:c r="E290" s="20" t="str">
        <x:v>Part Two — Homophonic Substitutions</x:v>
      </x:c>
      <x:c r="F290" s="20" t="str">
        <x:v>6B23 [TGH 1]</x:v>
      </x:c>
      <x:c r="G290" s="20" t="str">
        <x:v>尉</x:v>
      </x:c>
      <x:c r="H290" s="20" t="str">
        <x:v>慰</x:v>
      </x:c>
      <x:c r="I290" s="20" t="str"/>
      <x:c r="J290" s="20" t="str">
        <x:v>946B [TGH
2]</x:v>
      </x:c>
      <x:c r="K290" s="20" t="str"/>
      <x:c r="L290" s="20" t="str">
        <x:v>U+6B23</x:v>
      </x:c>
      <x:c r="M290" s="20" t="str">
        <x:v>CJK Unified Ideographs</x:v>
      </x:c>
      <x:c r="N290" s="20" t="str">
        <x:v>Unicode code point recorded</x:v>
      </x:c>
      <x:c r="O290" s="20" t="str">
        <x:v>Low</x:v>
      </x:c>
      <x:c r="P290" s="20" t="str">
        <x:v>Structured</x:v>
      </x:c>
      <x:c r="Q290" s="20" t="str">
        <x:v>2.1.053 | 6B23 [TGH 1] | 尉 | 慰 | 946B [TGH / 2] | </x:v>
      </x:c>
      <x:c r="R290" s="20" t="str">
        <x:v>Uploaded: n2924-SecondStageSimplificationStatusv3.pdf</x:v>
      </x:c>
    </x:row>
    <x:row r="291">
      <x:c r="A291" s="20" t="str">
        <x:v>2.1.054</x:v>
      </x:c>
      <x:c r="B291" s="20" t="n">
        <x:v>41</x:v>
      </x:c>
      <x:c r="C291" s="20" t="str">
        <x:v>Part Two</x:v>
      </x:c>
      <x:c r="D291" s="20" t="str">
        <x:v>2.1</x:v>
      </x:c>
      <x:c r="E291" s="20" t="str">
        <x:v>Part Two — Homophonic Substitutions</x:v>
      </x:c>
      <x:c r="F291" s="20" t="str">
        <x:v>5308 [TGH 1]</x:v>
      </x:c>
      <x:c r="G291" s="20" t="str">
        <x:v>欣</x:v>
      </x:c>
      <x:c r="H291" s="20" t="str">
        <x:v>鑫</x:v>
      </x:c>
      <x:c r="I291" s="20" t="str"/>
      <x:c r="J291" s="20" t="str">
        <x:v>80F8 [TGH
1]</x:v>
      </x:c>
      <x:c r="K291" s="20" t="str"/>
      <x:c r="L291" s="20" t="str">
        <x:v>U+5308</x:v>
      </x:c>
      <x:c r="M291" s="20" t="str">
        <x:v>CJK Unified Ideographs</x:v>
      </x:c>
      <x:c r="N291" s="20" t="str">
        <x:v>Unicode code point recorded</x:v>
      </x:c>
      <x:c r="O291" s="20" t="str">
        <x:v>Low</x:v>
      </x:c>
      <x:c r="P291" s="20" t="str">
        <x:v>Structured</x:v>
      </x:c>
      <x:c r="Q291" s="20" t="str">
        <x:v>2.1.054 | 5308 [TGH 1] | 欣 | 鑫 | 80F8 [TGH / 1] | </x:v>
      </x:c>
      <x:c r="R291" s="20" t="str">
        <x:v>Uploaded: n2924-SecondStageSimplificationStatusv3.pdf</x:v>
      </x:c>
    </x:row>
    <x:row r="292">
      <x:c r="A292" s="20" t="str">
        <x:v>2.1.055</x:v>
      </x:c>
      <x:c r="B292" s="20" t="n">
        <x:v>41</x:v>
      </x:c>
      <x:c r="C292" s="20" t="str">
        <x:v>Part Two</x:v>
      </x:c>
      <x:c r="D292" s="20" t="str">
        <x:v>2.1</x:v>
      </x:c>
      <x:c r="E292" s="20" t="str">
        <x:v>Part Two — Homophonic Substitutions</x:v>
      </x:c>
      <x:c r="F292" s="20" t="str">
        <x:v>3749
[UNUSED]
(fr. 5BA3
[TGH 1])</x:v>
      </x:c>
      <x:c r="G292" s="20" t="str">
        <x:v>匈
㝉</x:v>
      </x:c>
      <x:c r="H292" s="20" t="str">
        <x:v>胸
渲</x:v>
      </x:c>
      <x:c r="I292" s="20" t="str"/>
      <x:c r="J292" s="20" t="str">
        <x:v>6E32 [TGH
1]</x:v>
      </x:c>
      <x:c r="K292" s="20" t="str"/>
      <x:c r="L292" s="20" t="str">
        <x:v>U+3749</x:v>
      </x:c>
      <x:c r="M292" s="20" t="str">
        <x:v>CJK Unified Ideographs Extension A</x:v>
      </x:c>
      <x:c r="N292" s="20" t="str">
        <x:v>Unicode code point recorded</x:v>
      </x:c>
      <x:c r="O292" s="20" t="str">
        <x:v>Low</x:v>
      </x:c>
      <x:c r="P292" s="20" t="str">
        <x:v>Structured</x:v>
      </x:c>
      <x:c r="Q292" s="20" t="str">
        <x:v>2.1.055 | 3749 / [UNUSED] / (fr. 5BA3 / [TGH 1]) | 匈 / 㝉 | 胸 / 渲 | 6E32 [TGH / 1] | </x:v>
      </x:c>
      <x:c r="R292" s="20" t="str">
        <x:v>Uploaded: n2924-SecondStageSimplificationStatusv3.pdf</x:v>
      </x:c>
    </x:row>
    <x:row r="293">
      <x:c r="A293" s="20" t="str">
        <x:v>2.1.056</x:v>
      </x:c>
      <x:c r="B293" s="20" t="n">
        <x:v>41</x:v>
      </x:c>
      <x:c r="C293" s="20" t="str">
        <x:v>Part Two</x:v>
      </x:c>
      <x:c r="D293" s="20" t="str">
        <x:v>2.1</x:v>
      </x:c>
      <x:c r="E293" s="20" t="str">
        <x:v>Part Two — Homophonic Substitutions</x:v>
      </x:c>
      <x:c r="F293" s="20" t="str">
        <x:v>6CBF [TGH 1]</x:v>
      </x:c>
      <x:c r="G293" s="20" t="str"/>
      <x:c r="H293" s="20" t="str"/>
      <x:c r="I293" s="20" t="str"/>
      <x:c r="J293" s="20" t="str">
        <x:v>6A90 [TGH
1]</x:v>
      </x:c>
      <x:c r="K293" s="20" t="str"/>
      <x:c r="L293" s="20" t="str">
        <x:v>U+6CBF</x:v>
      </x:c>
      <x:c r="M293" s="20" t="str">
        <x:v>CJK Unified Ideographs</x:v>
      </x:c>
      <x:c r="N293" s="20" t="str">
        <x:v>Unicode code point recorded</x:v>
      </x:c>
      <x:c r="O293" s="20" t="str">
        <x:v>Low</x:v>
      </x:c>
      <x:c r="P293" s="20" t="str">
        <x:v>Structured</x:v>
      </x:c>
      <x:c r="Q293" s="20" t="str">
        <x:v>2.1.056 | 6CBF [TGH 1] |  |  | 6A90 [TGH / 1] | </x:v>
      </x:c>
      <x:c r="R293" s="20" t="str">
        <x:v>Uploaded: n2924-SecondStageSimplificationStatusv3.pdf</x:v>
      </x:c>
    </x:row>
    <x:row r="294">
      <x:c r="A294" s="20" t="str">
        <x:v>2.1.057</x:v>
      </x:c>
      <x:c r="B294" s="20" t="n">
        <x:v>41</x:v>
      </x:c>
      <x:c r="C294" s="20" t="str">
        <x:v>Part Two</x:v>
      </x:c>
      <x:c r="D294" s="20" t="str">
        <x:v>2.1</x:v>
      </x:c>
      <x:c r="E294" s="20" t="str">
        <x:v>Part Two — Homophonic Substitutions</x:v>
      </x:c>
      <x:c r="F294" s="20" t="str">
        <x:v>5F66 [TGH 2]</x:v>
      </x:c>
      <x:c r="G294" s="20" t="str">
        <x:v>沿</x:v>
      </x:c>
      <x:c r="H294" s="20" t="str">
        <x:v>檐</x:v>
      </x:c>
      <x:c r="I294" s="20" t="str"/>
      <x:c r="J294" s="20" t="str">
        <x:v>989C [TGH
1]</x:v>
      </x:c>
      <x:c r="K294" s="20" t="str"/>
      <x:c r="L294" s="20" t="str">
        <x:v>U+5F66</x:v>
      </x:c>
      <x:c r="M294" s="20" t="str">
        <x:v>CJK Unified Ideographs</x:v>
      </x:c>
      <x:c r="N294" s="20" t="str">
        <x:v>Unicode code point recorded</x:v>
      </x:c>
      <x:c r="O294" s="20" t="str">
        <x:v>Low</x:v>
      </x:c>
      <x:c r="P294" s="20" t="str">
        <x:v>Structured</x:v>
      </x:c>
      <x:c r="Q294" s="20" t="str">
        <x:v>2.1.057 | 5F66 [TGH 2] | 沿 | 檐 | 989C [TGH / 1] | </x:v>
      </x:c>
      <x:c r="R294" s="20" t="str">
        <x:v>Uploaded: n2924-SecondStageSimplificationStatusv3.pdf</x:v>
      </x:c>
    </x:row>
    <x:row r="295">
      <x:c r="A295" s="20" t="str">
        <x:v>2.1.058</x:v>
      </x:c>
      <x:c r="B295" s="20" t="n">
        <x:v>41</x:v>
      </x:c>
      <x:c r="C295" s="20" t="str">
        <x:v>Part Two</x:v>
      </x:c>
      <x:c r="D295" s="20" t="str">
        <x:v>2.1</x:v>
      </x:c>
      <x:c r="E295" s="20" t="str">
        <x:v>Part Two — Homophonic Substitutions</x:v>
      </x:c>
      <x:c r="F295" s="20" t="str">
        <x:v>⿱夃皿</x:v>
      </x:c>
      <x:c r="G295" s="20" t="str">
        <x:v>彦
赢</x:v>
      </x:c>
      <x:c r="H295" s="20" t="str">
        <x:v>颜</x:v>
      </x:c>
      <x:c r="I295" s="20" t="str"/>
      <x:c r="J295" s="20" t="str">
        <x:v>8D62 [TGH
1]</x:v>
      </x:c>
      <x:c r="K295" s="20" t="str">
        <x:v>This is 盈 submitted
to 2.8.008</x:v>
      </x:c>
      <x:c r="L295" s="20" t="str"/>
      <x:c r="M295" s="20" t="str"/>
      <x:c r="N295" s="20" t="str">
        <x:v>IDS / unencoded in 2022 source — review against Unicode 17 / GEJ</x:v>
      </x:c>
      <x:c r="O295" s="20" t="str">
        <x:v>High</x:v>
      </x:c>
      <x:c r="P295" s="20" t="str">
        <x:v>Structured</x:v>
      </x:c>
      <x:c r="Q295" s="20" t="str">
        <x:v>2.1.058 | ⿱夃皿 | 彦 / 赢 | 颜 | 8D62 [TGH / 1] | This is 盈 submitted / to 2.8.008</x:v>
      </x:c>
      <x:c r="R295" s="20" t="str">
        <x:v>Uploaded: n2924-SecondStageSimplificationStatusv3.pdf</x:v>
      </x:c>
    </x:row>
    <x:row r="296">
      <x:c r="A296" s="20" t="str">
        <x:v>2.1.059</x:v>
      </x:c>
      <x:c r="B296" s="20" t="n">
        <x:v>42</x:v>
      </x:c>
      <x:c r="C296" s="20" t="str">
        <x:v>Part Two</x:v>
      </x:c>
      <x:c r="D296" s="20" t="str">
        <x:v>2.1</x:v>
      </x:c>
      <x:c r="E296" s="20" t="str">
        <x:v>Part Two — Homophonic Substitutions</x:v>
      </x:c>
      <x:c r="F296" s="20" t="str">
        <x:v>4E4D [TGH 1]</x:v>
      </x:c>
      <x:c r="G296" s="20" t="str">
        <x:v>乍</x:v>
      </x:c>
      <x:c r="H296" s="20" t="str">
        <x:v>搾</x:v>
      </x:c>
      <x:c r="I296" s="20" t="str"/>
      <x:c r="J296" s="20" t="str">
        <x:v>643E22
[UNUSED
HJ㏎PT]</x:v>
      </x:c>
      <x:c r="K296" s="20" t="str"/>
      <x:c r="L296" s="20" t="str">
        <x:v>U+4E4D</x:v>
      </x:c>
      <x:c r="M296" s="20" t="str">
        <x:v>CJK Unified Ideographs</x:v>
      </x:c>
      <x:c r="N296" s="20" t="str">
        <x:v>Unicode code point recorded</x:v>
      </x:c>
      <x:c r="O296" s="20" t="str">
        <x:v>Low</x:v>
      </x:c>
      <x:c r="P296" s="20" t="str">
        <x:v>Structured</x:v>
      </x:c>
      <x:c r="Q296" s="20" t="str">
        <x:v>2.1.059 | 4E4D [TGH 1] | 乍 | 搾 | 643E22 / [UNUSED / HJ㏎PT] | </x:v>
      </x:c>
      <x:c r="R296" s="20" t="str">
        <x:v>Uploaded: n2924-SecondStageSimplificationStatusv3.pdf</x:v>
      </x:c>
    </x:row>
    <x:row r="297">
      <x:c r="A297" s="20" t="str">
        <x:v>2.1.060</x:v>
      </x:c>
      <x:c r="B297" s="20" t="n">
        <x:v>42</x:v>
      </x:c>
      <x:c r="C297" s="20" t="str">
        <x:v>Part Two</x:v>
      </x:c>
      <x:c r="D297" s="20" t="str">
        <x:v>2.1</x:v>
      </x:c>
      <x:c r="E297" s="20" t="str">
        <x:v>Part Two — Homophonic Substitutions</x:v>
      </x:c>
      <x:c r="F297" s="20" t="str">
        <x:v>6CBE [TGH 1]</x:v>
      </x:c>
      <x:c r="G297" s="20" t="str"/>
      <x:c r="H297" s="20" t="str"/>
      <x:c r="I297" s="20" t="str"/>
      <x:c r="J297" s="20" t="str">
        <x:v>8638 [TGH
2]</x:v>
      </x:c>
      <x:c r="K297" s="20" t="str"/>
      <x:c r="L297" s="20" t="str">
        <x:v>U+6CBE</x:v>
      </x:c>
      <x:c r="M297" s="20" t="str">
        <x:v>CJK Unified Ideographs</x:v>
      </x:c>
      <x:c r="N297" s="20" t="str">
        <x:v>Unicode code point recorded</x:v>
      </x:c>
      <x:c r="O297" s="20" t="str">
        <x:v>Low</x:v>
      </x:c>
      <x:c r="P297" s="20" t="str">
        <x:v>Structured</x:v>
      </x:c>
      <x:c r="Q297" s="20" t="str">
        <x:v>2.1.060 | 6CBE [TGH 1] |  |  | 8638 [TGH / 2] | </x:v>
      </x:c>
      <x:c r="R297" s="20" t="str">
        <x:v>Uploaded: n2924-SecondStageSimplificationStatusv3.pdf</x:v>
      </x:c>
    </x:row>
    <x:row r="298">
      <x:c r="A298" s="20" t="str">
        <x:v>2.1.061</x:v>
      </x:c>
      <x:c r="B298" s="20" t="n">
        <x:v>42</x:v>
      </x:c>
      <x:c r="C298" s="20" t="str">
        <x:v>Part Two</x:v>
      </x:c>
      <x:c r="D298" s="20" t="str">
        <x:v>2.1</x:v>
      </x:c>
      <x:c r="E298" s="20" t="str">
        <x:v>Part Two — Homophonic Substitutions</x:v>
      </x:c>
      <x:c r="F298" s="20" t="str">
        <x:v>9A7A [TGH 3]</x:v>
      </x:c>
      <x:c r="G298" s="20" t="str">
        <x:v>沾</x:v>
      </x:c>
      <x:c r="H298" s="20" t="str">
        <x:v>蘸</x:v>
      </x:c>
      <x:c r="I298" s="20" t="str"/>
      <x:c r="J298" s="20" t="str">
        <x:v>9AA4 [TGH
1]</x:v>
      </x:c>
      <x:c r="K298" s="20" t="str"/>
      <x:c r="L298" s="20" t="str">
        <x:v>U+9A7A</x:v>
      </x:c>
      <x:c r="M298" s="20" t="str">
        <x:v>CJK Unified Ideographs</x:v>
      </x:c>
      <x:c r="N298" s="20" t="str">
        <x:v>Unicode code point recorded</x:v>
      </x:c>
      <x:c r="O298" s="20" t="str">
        <x:v>Low</x:v>
      </x:c>
      <x:c r="P298" s="20" t="str">
        <x:v>Structured</x:v>
      </x:c>
      <x:c r="Q298" s="20" t="str">
        <x:v>2.1.061 | 9A7A [TGH 3] | 沾 | 蘸 | 9AA4 [TGH / 1] | </x:v>
      </x:c>
      <x:c r="R298" s="20" t="str">
        <x:v>Uploaded: n2924-SecondStageSimplificationStatusv3.pdf</x:v>
      </x:c>
    </x:row>
    <x:row r="299">
      <x:c r="A299" s="20" t="str">
        <x:v>2.1.062</x:v>
      </x:c>
      <x:c r="B299" s="20" t="n">
        <x:v>42</x:v>
      </x:c>
      <x:c r="C299" s="20" t="str">
        <x:v>Part Two</x:v>
      </x:c>
      <x:c r="D299" s="20" t="str">
        <x:v>2.1</x:v>
      </x:c>
      <x:c r="E299" s="20" t="str">
        <x:v>Part Two — Homophonic Substitutions</x:v>
      </x:c>
      <x:c r="F299" s="20" t="str">
        <x:v>54A8 [TGH 1]</x:v>
      </x:c>
      <x:c r="G299" s="20" t="str">
        <x:v>驺</x:v>
      </x:c>
      <x:c r="H299" s="20" t="str">
        <x:v>骤</x:v>
      </x:c>
      <x:c r="I299" s="20" t="str"/>
      <x:c r="J299" s="20" t="str">
        <x:v>8C18 [㎇
2312]</x:v>
      </x:c>
      <x:c r="K299" s="20" t="str"/>
      <x:c r="L299" s="20" t="str">
        <x:v>U+54A8</x:v>
      </x:c>
      <x:c r="M299" s="20" t="str">
        <x:v>CJK Unified Ideographs</x:v>
      </x:c>
      <x:c r="N299" s="20" t="str">
        <x:v>Unicode code point recorded</x:v>
      </x:c>
      <x:c r="O299" s="20" t="str">
        <x:v>Low</x:v>
      </x:c>
      <x:c r="P299" s="20" t="str">
        <x:v>Structured</x:v>
      </x:c>
      <x:c r="Q299" s="20" t="str">
        <x:v>2.1.062 | 54A8 [TGH 1] | 驺 | 骤 | 8C18 [㎇ / 2312] | </x:v>
      </x:c>
      <x:c r="R299" s="20" t="str">
        <x:v>Uploaded: n2924-SecondStageSimplificationStatusv3.pdf</x:v>
      </x:c>
    </x:row>
    <x:row r="300">
      <x:c r="A300" s="20" t="str">
        <x:v>2.1.063</x:v>
      </x:c>
      <x:c r="B300" s="20" t="n">
        <x:v>42</x:v>
      </x:c>
      <x:c r="C300" s="20" t="str">
        <x:v>Part Two</x:v>
      </x:c>
      <x:c r="D300" s="20" t="str">
        <x:v>2.1</x:v>
      </x:c>
      <x:c r="E300" s="20" t="str">
        <x:v>Part Two — Homophonic Substitutions</x:v>
      </x:c>
      <x:c r="F300" s="20" t="str">
        <x:v>9A94
[UNUSED]</x:v>
      </x:c>
      <x:c r="G300" s="20" t="str">
        <x:v>咨</x:v>
      </x:c>
      <x:c r="H300" s="20" t="str">
        <x:v>谘</x:v>
      </x:c>
      <x:c r="I300" s="20" t="str"/>
      <x:c r="J300" s="20" t="str">
        <x:v>9B03 [TGH
2]</x:v>
      </x:c>
      <x:c r="K300" s="20" t="str"/>
      <x:c r="L300" s="20" t="str">
        <x:v>U+9A94</x:v>
      </x:c>
      <x:c r="M300" s="20" t="str">
        <x:v>CJK Unified Ideographs</x:v>
      </x:c>
      <x:c r="N300" s="20" t="str">
        <x:v>Unicode code point recorded</x:v>
      </x:c>
      <x:c r="O300" s="20" t="str">
        <x:v>Low</x:v>
      </x:c>
      <x:c r="P300" s="20" t="str">
        <x:v>Structured</x:v>
      </x:c>
      <x:c r="Q300" s="20" t="str">
        <x:v>2.1.063 | 9A94 / [UNUSED] | 咨 | 谘 | 9B03 [TGH / 2] | </x:v>
      </x:c>
      <x:c r="R300" s="20" t="str">
        <x:v>Uploaded: n2924-SecondStageSimplificationStatusv3.pdf</x:v>
      </x:c>
    </x:row>
    <x:row r="301">
      <x:c r="A301" s="20" t="str">
        <x:v>2.1.064</x:v>
      </x:c>
      <x:c r="B301" s="20" t="n">
        <x:v>42</x:v>
      </x:c>
      <x:c r="C301" s="20" t="str">
        <x:v>Part Two</x:v>
      </x:c>
      <x:c r="D301" s="20" t="str">
        <x:v>2.1</x:v>
      </x:c>
      <x:c r="E301" s="20" t="str">
        <x:v>Part Two — Homophonic Substitutions</x:v>
      </x:c>
      <x:c r="F301" s="20" t="str">
        <x:v>300DD23 (fr.
5C0A [TGH
1])</x:v>
      </x:c>
      <x:c r="G301" s="20" t="str">
        <x:v>骔
遵</x:v>
      </x:c>
      <x:c r="H301" s="20" t="str">
        <x:v>鬃
遵
(遵)</x:v>
      </x:c>
      <x:c r="I301" s="20" t="str"/>
      <x:c r="J301" s="20" t="str">
        <x:v>9075 [TGH
1]</x:v>
      </x:c>
      <x:c r="K301" s="20" t="str">
        <x:v>Completes the
simplification of
1.2.021</x:v>
      </x:c>
      <x:c r="L301" s="20" t="str"/>
      <x:c r="M301" s="20" t="str"/>
      <x:c r="N301" s="20" t="str">
        <x:v>No parseable code point — manual review</x:v>
      </x:c>
      <x:c r="O301" s="20" t="str">
        <x:v>Medium</x:v>
      </x:c>
      <x:c r="P301" s="20" t="str">
        <x:v>Structured</x:v>
      </x:c>
      <x:c r="Q301" s="20" t="str">
        <x:v>2.1.064 | 300DD23 (fr. / 5C0A [TGH / 1]) | 骔 / 遵 | 鬃 / 遵 / (遵) | 9075 [TGH / 1] | Completes the / simplification of / 1.2.021</x:v>
      </x:c>
      <x:c r="R301" s="20" t="str">
        <x:v>Uploaded: n2924-SecondStageSimplificationStatusv3.pdf</x:v>
      </x:c>
    </x:row>
    <x:row r="302">
      <x:c r="A302" s="20" t="str">
        <x:v>2.1.065</x:v>
      </x:c>
      <x:c r="B302" s="20" t="str"/>
      <x:c r="C302" s="20" t="str">
        <x:v>Part Two</x:v>
      </x:c>
      <x:c r="D302" s="20" t="str">
        <x:v>2.1</x:v>
      </x:c>
      <x:c r="E302" s="20" t="str">
        <x:v>Part Two — Homophonic Substitutions</x:v>
      </x:c>
      <x:c r="F302" s="20" t="str"/>
      <x:c r="G302" s="20" t="str"/>
      <x:c r="H302" s="20" t="str"/>
      <x:c r="I302" s="20" t="str"/>
      <x:c r="J302" s="20" t="str"/>
      <x:c r="K302" s="20" t="str"/>
      <x:c r="L302" s="20" t="str"/>
      <x:c r="M302" s="20" t="str"/>
      <x:c r="N302" s="20" t="str">
        <x:v>No code-point data extracted — manual review</x:v>
      </x:c>
      <x:c r="O302" s="20" t="str">
        <x:v>Medium</x:v>
      </x:c>
      <x:c r="P302" s="20" t="str">
        <x:v>Reference found in PDF text; table row not parsed</x:v>
      </x:c>
      <x:c r="Q302" s="20" t="str"/>
      <x:c r="R302" s="20" t="str">
        <x:v>Uploaded: n2924-SecondStageSimplificationStatusv3.pdf</x:v>
      </x:c>
    </x:row>
    <x:row r="303">
      <x:c r="A303" s="20" t="str">
        <x:v>2.1.148</x:v>
      </x:c>
      <x:c r="B303" s="20" t="str"/>
      <x:c r="C303" s="20" t="str">
        <x:v>Part Two</x:v>
      </x:c>
      <x:c r="D303" s="20" t="str">
        <x:v>2.1</x:v>
      </x:c>
      <x:c r="E303" s="20" t="str">
        <x:v>Part Two — Homophonic Substitutions</x:v>
      </x:c>
      <x:c r="F303" s="20" t="str"/>
      <x:c r="G303" s="20" t="str"/>
      <x:c r="H303" s="20" t="str"/>
      <x:c r="I303" s="20" t="str"/>
      <x:c r="J303" s="20" t="str"/>
      <x:c r="K303" s="20" t="str"/>
      <x:c r="L303" s="20" t="str"/>
      <x:c r="M303" s="20" t="str"/>
      <x:c r="N303" s="20" t="str">
        <x:v>No code-point data extracted — manual review</x:v>
      </x:c>
      <x:c r="O303" s="20" t="str">
        <x:v>Medium</x:v>
      </x:c>
      <x:c r="P303" s="20" t="str">
        <x:v>Reference found in PDF text; table row not parsed</x:v>
      </x:c>
      <x:c r="Q303" s="20" t="str"/>
      <x:c r="R303" s="20" t="str">
        <x:v>Uploaded: n2924-SecondStageSimplificationStatusv3.pdf</x:v>
      </x:c>
    </x:row>
    <x:row r="304">
      <x:c r="A304" s="20" t="str">
        <x:v>2.2.001</x:v>
      </x:c>
      <x:c r="B304" s="20" t="n">
        <x:v>42</x:v>
      </x:c>
      <x:c r="C304" s="20" t="str">
        <x:v>Part Two</x:v>
      </x:c>
      <x:c r="D304" s="20" t="str">
        <x:v>2.2</x:v>
      </x:c>
      <x:c r="E304" s="20" t="str">
        <x:v>Part Two — Pictophonetic Simplifications</x:v>
      </x:c>
      <x:c r="F304" s="20" t="str">
        <x:v>6C83 [TGH
1]</x:v>
      </x:c>
      <x:c r="G304" s="20" t="str"/>
      <x:c r="H304" s="20" t="str"/>
      <x:c r="I304" s="20" t="str"/>
      <x:c r="J304" s="20" t="str">
        <x:v>6FB3 [TGH
1]</x:v>
      </x:c>
      <x:c r="K304" s="20" t="str"/>
      <x:c r="L304" s="20" t="str">
        <x:v>U+6C83</x:v>
      </x:c>
      <x:c r="M304" s="20" t="str">
        <x:v>CJK Unified Ideographs</x:v>
      </x:c>
      <x:c r="N304" s="20" t="str">
        <x:v>Unicode code point recorded</x:v>
      </x:c>
      <x:c r="O304" s="20" t="str">
        <x:v>Low</x:v>
      </x:c>
      <x:c r="P304" s="20" t="str">
        <x:v>Structured</x:v>
      </x:c>
      <x:c r="Q304" s="20" t="str">
        <x:v>2.2.001 | 6C83 [TGH / 1] |  |  | 6FB3 [TGH / 1] | </x:v>
      </x:c>
      <x:c r="R304" s="20" t="str">
        <x:v>Uploaded: n2924-SecondStageSimplificationStatusv3.pdf</x:v>
      </x:c>
    </x:row>
    <x:row r="305">
      <x:c r="A305" s="20" t="str">
        <x:v>2.2.002</x:v>
      </x:c>
      <x:c r="B305" s="20" t="n">
        <x:v>42</x:v>
      </x:c>
      <x:c r="C305" s="20" t="str">
        <x:v>Part Two</x:v>
      </x:c>
      <x:c r="D305" s="20" t="str">
        <x:v>2.2</x:v>
      </x:c>
      <x:c r="E305" s="20" t="str">
        <x:v>Part Two — Pictophonetic Simplifications</x:v>
      </x:c>
      <x:c r="F305" s="20" t="str">
        <x:v>⿱雨巴</x:v>
      </x:c>
      <x:c r="G305" s="20" t="str">
        <x:v>沃
霸</x:v>
      </x:c>
      <x:c r="H305" s="20" t="str">
        <x:v>澳
霸</x:v>
      </x:c>
      <x:c r="I305" s="20" t="str"/>
      <x:c r="J305" s="20" t="str">
        <x:v>9738 [TGH
1]</x:v>
      </x:c>
      <x:c r="K305" s="20" t="str">
        <x:v>This is 𫕠𫕠
submitted
to 2.8.015</x:v>
      </x:c>
      <x:c r="L305" s="20" t="str"/>
      <x:c r="M305" s="20" t="str"/>
      <x:c r="N305" s="20" t="str">
        <x:v>IDS / unencoded in 2022 source — review against Unicode 17 / GEJ</x:v>
      </x:c>
      <x:c r="O305" s="20" t="str">
        <x:v>High</x:v>
      </x:c>
      <x:c r="P305" s="20" t="str">
        <x:v>Structured</x:v>
      </x:c>
      <x:c r="Q305" s="20" t="str">
        <x:v>2.2.002 | ⿱雨巴 | 沃 / 霸 | 澳 / 霸 | 9738 [TGH / 1] | This is 𫕠𫕠 / submitted / to 2.8.015</x:v>
      </x:c>
      <x:c r="R305" s="20" t="str">
        <x:v>Uploaded: n2924-SecondStageSimplificationStatusv3.pdf</x:v>
      </x:c>
    </x:row>
    <x:row r="306">
      <x:c r="A306" s="20" t="str">
        <x:v>2.2.003</x:v>
      </x:c>
      <x:c r="B306" s="20" t="n">
        <x:v>42</x:v>
      </x:c>
      <x:c r="C306" s="20" t="str">
        <x:v>Part Two</x:v>
      </x:c>
      <x:c r="D306" s="20" t="str">
        <x:v>2.2</x:v>
      </x:c>
      <x:c r="E306" s="20" t="str">
        <x:v>Part Two — Pictophonetic Simplifications</x:v>
      </x:c>
      <x:c r="F306" s="20" t="str">
        <x:v>⿱艹半</x:v>
      </x:c>
      <x:c r="G306" s="20" t="str">
        <x:v>瓣</x:v>
      </x:c>
      <x:c r="H306" s="20" t="str"/>
      <x:c r="I306" s="20" t="str"/>
      <x:c r="J306" s="20" t="str">
        <x:v>74E3 [TGH
1]</x:v>
      </x:c>
      <x:c r="K306" s="20" t="str"/>
      <x:c r="L306" s="20" t="str"/>
      <x:c r="M306" s="20" t="str"/>
      <x:c r="N306" s="20" t="str">
        <x:v>IDS / unencoded in 2022 source — review against Unicode 17 / GEJ</x:v>
      </x:c>
      <x:c r="O306" s="20" t="str">
        <x:v>High</x:v>
      </x:c>
      <x:c r="P306" s="20" t="str">
        <x:v>Structured</x:v>
      </x:c>
      <x:c r="Q306" s="20" t="str">
        <x:v>2.2.003 | ⿱艹半 | 瓣 |  | 74E3 [TGH / 1] | </x:v>
      </x:c>
      <x:c r="R306" s="20" t="str">
        <x:v>Uploaded: n2924-SecondStageSimplificationStatusv3.pdf</x:v>
      </x:c>
    </x:row>
    <x:row r="307">
      <x:c r="A307" s="20" t="str">
        <x:v>2.2.004</x:v>
      </x:c>
      <x:c r="B307" s="20" t="n">
        <x:v>42</x:v>
      </x:c>
      <x:c r="C307" s="20" t="str">
        <x:v>Part Two</x:v>
      </x:c>
      <x:c r="D307" s="20" t="str">
        <x:v>2.2</x:v>
      </x:c>
      <x:c r="E307" s="20" t="str">
        <x:v>Part Two — Pictophonetic Simplifications</x:v>
      </x:c>
      <x:c r="F307" s="20" t="str">
        <x:v>23143
[UNUSED]</x:v>
      </x:c>
      <x:c r="G307" s="20" t="str">
        <x:v>暴</x:v>
      </x:c>
      <x:c r="H307" s="20" t="str">
        <x:v>瓣
暴曝</x:v>
      </x:c>
      <x:c r="I307" s="20" t="str"/>
      <x:c r="J307" s="20" t="str">
        <x:v>66B4 [TGH
1]
66DD [TGH
1]</x:v>
      </x:c>
      <x:c r="K307" s="20" t="str"/>
      <x:c r="L307" s="20" t="str">
        <x:v>U+23143</x:v>
      </x:c>
      <x:c r="M307" s="20" t="str">
        <x:v>CJK Unified Ideographs Extension B</x:v>
      </x:c>
      <x:c r="N307" s="20" t="str">
        <x:v>Unicode code point recorded</x:v>
      </x:c>
      <x:c r="O307" s="20" t="str">
        <x:v>Low</x:v>
      </x:c>
      <x:c r="P307" s="20" t="str">
        <x:v>Structured</x:v>
      </x:c>
      <x:c r="Q307" s="20" t="str">
        <x:v>2.2.004 | 23143 / [UNUSED] | 暴 | 瓣 / 暴曝 | 66B4 [TGH / 1] / 66DD [TGH / 1] | </x:v>
      </x:c>
      <x:c r="R307" s="20" t="str">
        <x:v>Uploaded: n2924-SecondStageSimplificationStatusv3.pdf</x:v>
      </x:c>
    </x:row>
    <x:row r="308">
      <x:c r="A308" s="20" t="str">
        <x:v>2.2.005</x:v>
      </x:c>
      <x:c r="B308" s="20" t="n">
        <x:v>42</x:v>
      </x:c>
      <x:c r="C308" s="20" t="str">
        <x:v>Part Two</x:v>
      </x:c>
      <x:c r="D308" s="20" t="str">
        <x:v>2.2</x:v>
      </x:c>
      <x:c r="E308" s="20" t="str">
        <x:v>Part Two — Pictophonetic Simplifications</x:v>
      </x:c>
      <x:c r="F308" s="20" t="str">
        <x:v>23C76
[UNUSED]</x:v>
      </x:c>
      <x:c r="G308" s="20" t="str">
        <x:v>瀑</x:v>
      </x:c>
      <x:c r="H308" s="20" t="str">
        <x:v>瀑浦</x:v>
      </x:c>
      <x:c r="I308" s="20" t="str"/>
      <x:c r="J308" s="20" t="str">
        <x:v>7011 [TGH
1]
6D66 [TGH
1]</x:v>
      </x:c>
      <x:c r="K308" s="20" t="str"/>
      <x:c r="L308" s="20" t="str">
        <x:v>U+23C76</x:v>
      </x:c>
      <x:c r="M308" s="20" t="str">
        <x:v>CJK Unified Ideographs Extension B</x:v>
      </x:c>
      <x:c r="N308" s="20" t="str">
        <x:v>Unicode code point recorded</x:v>
      </x:c>
      <x:c r="O308" s="20" t="str">
        <x:v>Low</x:v>
      </x:c>
      <x:c r="P308" s="20" t="str">
        <x:v>Structured</x:v>
      </x:c>
      <x:c r="Q308" s="20" t="str">
        <x:v>2.2.005 | 23C76 / [UNUSED] | 瀑 | 瀑浦 | 7011 [TGH / 1] / 6D66 [TGH / 1] | </x:v>
      </x:c>
      <x:c r="R308" s="20" t="str">
        <x:v>Uploaded: n2924-SecondStageSimplificationStatusv3.pdf</x:v>
      </x:c>
    </x:row>
    <x:row r="309">
      <x:c r="A309" s="20" t="str">
        <x:v>2.2.006</x:v>
      </x:c>
      <x:c r="B309" s="20" t="n">
        <x:v>43</x:v>
      </x:c>
      <x:c r="C309" s="20" t="str">
        <x:v>Part Two</x:v>
      </x:c>
      <x:c r="D309" s="20" t="str">
        <x:v>2.2</x:v>
      </x:c>
      <x:c r="E309" s="20" t="str">
        <x:v>Part Two — Pictophonetic Simplifications</x:v>
      </x:c>
      <x:c r="F309" s="20" t="str">
        <x:v>2868D
[UNUSED]</x:v>
      </x:c>
      <x:c r="G309" s="20" t="str">
        <x:v>鄙</x:v>
      </x:c>
      <x:c r="H309" s="20" t="str"/>
      <x:c r="I309" s="20" t="str"/>
      <x:c r="J309" s="20" t="str">
        <x:v>9119 [TGH
1]</x:v>
      </x:c>
      <x:c r="K309" s="20" t="str"/>
      <x:c r="L309" s="20" t="str">
        <x:v>U+2868D</x:v>
      </x:c>
      <x:c r="M309" s="20" t="str">
        <x:v>CJK Unified Ideographs Extension B</x:v>
      </x:c>
      <x:c r="N309" s="20" t="str">
        <x:v>Unicode code point recorded</x:v>
      </x:c>
      <x:c r="O309" s="20" t="str">
        <x:v>Low</x:v>
      </x:c>
      <x:c r="P309" s="20" t="str">
        <x:v>Structured</x:v>
      </x:c>
      <x:c r="Q309" s="20" t="str">
        <x:v>2.2.006 | 2868D / [UNUSED] | 鄙 |  | 9119 [TGH / 1] | </x:v>
      </x:c>
      <x:c r="R309" s="20" t="str">
        <x:v>Uploaded: n2924-SecondStageSimplificationStatusv3.pdf</x:v>
      </x:c>
    </x:row>
    <x:row r="310">
      <x:c r="A310" s="20" t="str">
        <x:v>2.2.007</x:v>
      </x:c>
      <x:c r="B310" s="20" t="n">
        <x:v>43</x:v>
      </x:c>
      <x:c r="C310" s="20" t="str">
        <x:v>Part Two</x:v>
      </x:c>
      <x:c r="D310" s="20" t="str">
        <x:v>2.2</x:v>
      </x:c>
      <x:c r="E310" s="20" t="str">
        <x:v>Part Two — Pictophonetic Simplifications</x:v>
      </x:c>
      <x:c r="F310" s="20" t="str">
        <x:v>⿺辶比</x:v>
      </x:c>
      <x:c r="G310" s="20" t="str">
        <x:v>避</x:v>
      </x:c>
      <x:c r="H310" s="20" t="str">
        <x:v>鄙</x:v>
      </x:c>
      <x:c r="I310" s="20" t="str"/>
      <x:c r="J310" s="20" t="str">
        <x:v>907F [TGH
1]</x:v>
      </x:c>
      <x:c r="K310" s="20" t="str"/>
      <x:c r="L310" s="20" t="str"/>
      <x:c r="M310" s="20" t="str"/>
      <x:c r="N310" s="20" t="str">
        <x:v>IDS / unencoded in 2022 source — review against Unicode 17 / GEJ</x:v>
      </x:c>
      <x:c r="O310" s="20" t="str">
        <x:v>High</x:v>
      </x:c>
      <x:c r="P310" s="20" t="str">
        <x:v>Structured</x:v>
      </x:c>
      <x:c r="Q310" s="20" t="str">
        <x:v>2.2.007 | ⿺辶比 | 避 | 鄙 | 907F [TGH / 1] | </x:v>
      </x:c>
      <x:c r="R310" s="20" t="str">
        <x:v>Uploaded: n2924-SecondStageSimplificationStatusv3.pdf</x:v>
      </x:c>
    </x:row>
    <x:row r="311">
      <x:c r="A311" s="20" t="str">
        <x:v>2.2.008</x:v>
      </x:c>
      <x:c r="B311" s="20" t="n">
        <x:v>43</x:v>
      </x:c>
      <x:c r="C311" s="20" t="str">
        <x:v>Part Two</x:v>
      </x:c>
      <x:c r="D311" s="20" t="str">
        <x:v>2.2</x:v>
      </x:c>
      <x:c r="E311" s="20" t="str">
        <x:v>Part Two — Pictophonetic Simplifications</x:v>
      </x:c>
      <x:c r="F311" s="20" t="str">
        <x:v>⿱竹布</x:v>
      </x:c>
      <x:c r="G311" s="20" t="str">
        <x:v>簿</x:v>
      </x:c>
      <x:c r="H311" s="20" t="str">
        <x:v>避</x:v>
      </x:c>
      <x:c r="I311" s="20" t="str"/>
      <x:c r="J311" s="20" t="str">
        <x:v>7C3F [TGH
1]</x:v>
      </x:c>
      <x:c r="K311" s="20" t="str"/>
      <x:c r="L311" s="20" t="str"/>
      <x:c r="M311" s="20" t="str"/>
      <x:c r="N311" s="20" t="str">
        <x:v>IDS / unencoded in 2022 source — review against Unicode 17 / GEJ</x:v>
      </x:c>
      <x:c r="O311" s="20" t="str">
        <x:v>High</x:v>
      </x:c>
      <x:c r="P311" s="20" t="str">
        <x:v>Structured</x:v>
      </x:c>
      <x:c r="Q311" s="20" t="str">
        <x:v>2.2.008 | ⿱竹布 | 簿 | 避 | 7C3F [TGH / 1] | </x:v>
      </x:c>
      <x:c r="R311" s="20" t="str">
        <x:v>Uploaded: n2924-SecondStageSimplificationStatusv3.pdf</x:v>
      </x:c>
    </x:row>
    <x:row r="312">
      <x:c r="A312" s="20" t="str">
        <x:v>2.2.009</x:v>
      </x:c>
      <x:c r="B312" s="20" t="n">
        <x:v>43</x:v>
      </x:c>
      <x:c r="C312" s="20" t="str">
        <x:v>Part Two</x:v>
      </x:c>
      <x:c r="D312" s="20" t="str">
        <x:v>2.2</x:v>
      </x:c>
      <x:c r="E312" s="20" t="str">
        <x:v>Part Two — Pictophonetic Simplifications</x:v>
      </x:c>
      <x:c r="F312" s="20" t="str">
        <x:v>28C44
[UNUSED]</x:v>
      </x:c>
      <x:c r="G312" s="20" t="str">
        <x:v>锄</x:v>
      </x:c>
      <x:c r="H312" s="20" t="str">
        <x:v>簿</x:v>
      </x:c>
      <x:c r="I312" s="20" t="str"/>
      <x:c r="J312" s="20" t="str">
        <x:v>9504 [TGH
1]</x:v>
      </x:c>
      <x:c r="K312" s="20" t="str"/>
      <x:c r="L312" s="20" t="str">
        <x:v>U+28C44</x:v>
      </x:c>
      <x:c r="M312" s="20" t="str">
        <x:v>CJK Unified Ideographs Extension B</x:v>
      </x:c>
      <x:c r="N312" s="20" t="str">
        <x:v>Unicode code point recorded</x:v>
      </x:c>
      <x:c r="O312" s="20" t="str">
        <x:v>Low</x:v>
      </x:c>
      <x:c r="P312" s="20" t="str">
        <x:v>Structured</x:v>
      </x:c>
      <x:c r="Q312" s="20" t="str">
        <x:v>2.2.009 | 28C44 / [UNUSED] | 锄 | 簿 | 9504 [TGH / 1] | </x:v>
      </x:c>
      <x:c r="R312" s="20" t="str">
        <x:v>Uploaded: n2924-SecondStageSimplificationStatusv3.pdf</x:v>
      </x:c>
    </x:row>
    <x:row r="313">
      <x:c r="A313" s="20" t="str">
        <x:v>2.2.010</x:v>
      </x:c>
      <x:c r="B313" s="20" t="n">
        <x:v>43</x:v>
      </x:c>
      <x:c r="C313" s="20" t="str">
        <x:v>Part Two</x:v>
      </x:c>
      <x:c r="D313" s="20" t="str">
        <x:v>2.2</x:v>
      </x:c>
      <x:c r="E313" s="20" t="str">
        <x:v>Part Two — Pictophonetic Simplifications</x:v>
      </x:c>
      <x:c r="F313" s="20" t="str">
        <x:v>3441
[UNUSED]</x:v>
      </x:c>
      <x:c r="G313" s="20" t="str">
        <x:v>㑁</x:v>
      </x:c>
      <x:c r="H313" s="20" t="str">
        <x:v>锄
储贮</x:v>
      </x:c>
      <x:c r="I313" s="20" t="str"/>
      <x:c r="J313" s="20" t="str">
        <x:v>50A8 [TGH
1]
8D2E [TGH
1]</x:v>
      </x:c>
      <x:c r="K313" s="20" t="str"/>
      <x:c r="L313" s="20" t="str">
        <x:v>U+3441</x:v>
      </x:c>
      <x:c r="M313" s="20" t="str">
        <x:v>CJK Unified Ideographs Extension A</x:v>
      </x:c>
      <x:c r="N313" s="20" t="str">
        <x:v>Unicode code point recorded</x:v>
      </x:c>
      <x:c r="O313" s="20" t="str">
        <x:v>Low</x:v>
      </x:c>
      <x:c r="P313" s="20" t="str">
        <x:v>Structured</x:v>
      </x:c>
      <x:c r="Q313" s="20" t="str">
        <x:v>2.2.010 | 3441 / [UNUSED] | 㑁 | 锄 / 储贮 | 50A8 [TGH / 1] / 8D2E [TGH / 1] | </x:v>
      </x:c>
      <x:c r="R313" s="20" t="str">
        <x:v>Uploaded: n2924-SecondStageSimplificationStatusv3.pdf</x:v>
      </x:c>
    </x:row>
    <x:row r="314">
      <x:c r="A314" s="20" t="str">
        <x:v>2.2.011</x:v>
      </x:c>
      <x:c r="B314" s="20" t="n">
        <x:v>43</x:v>
      </x:c>
      <x:c r="C314" s="20" t="str">
        <x:v>Part Two</x:v>
      </x:c>
      <x:c r="D314" s="20" t="str">
        <x:v>2.2</x:v>
      </x:c>
      <x:c r="E314" s="20" t="str">
        <x:v>Part Two — Pictophonetic Simplifications</x:v>
      </x:c>
      <x:c r="F314" s="20" t="str">
        <x:v>⿰出戈</x:v>
      </x:c>
      <x:c r="G314" s="20" t="str">
        <x:v>戳</x:v>
      </x:c>
      <x:c r="H314" s="20" t="str"/>
      <x:c r="I314" s="20" t="str"/>
      <x:c r="J314" s="20" t="str">
        <x:v>6233 [TGH
1]</x:v>
      </x:c>
      <x:c r="K314" s="20" t="str"/>
      <x:c r="L314" s="20" t="str"/>
      <x:c r="M314" s="20" t="str"/>
      <x:c r="N314" s="20" t="str">
        <x:v>IDS / unencoded in 2022 source — review against Unicode 17 / GEJ</x:v>
      </x:c>
      <x:c r="O314" s="20" t="str">
        <x:v>High</x:v>
      </x:c>
      <x:c r="P314" s="20" t="str">
        <x:v>Structured</x:v>
      </x:c>
      <x:c r="Q314" s="20" t="str">
        <x:v>2.2.011 | ⿰出戈 | 戳 |  | 6233 [TGH / 1] | </x:v>
      </x:c>
      <x:c r="R314" s="20" t="str">
        <x:v>Uploaded: n2924-SecondStageSimplificationStatusv3.pdf</x:v>
      </x:c>
    </x:row>
    <x:row r="315">
      <x:c r="A315" s="20" t="str">
        <x:v>2.2.012</x:v>
      </x:c>
      <x:c r="B315" s="20" t="n">
        <x:v>43</x:v>
      </x:c>
      <x:c r="C315" s="20" t="str">
        <x:v>Part Two</x:v>
      </x:c>
      <x:c r="D315" s="20" t="str">
        <x:v>2.2</x:v>
      </x:c>
      <x:c r="E315" s="20" t="str">
        <x:v>Part Two — Pictophonetic Simplifications</x:v>
      </x:c>
      <x:c r="F315" s="20" t="str">
        <x:v>⿰讠旦</x:v>
      </x:c>
      <x:c r="G315" s="20" t="str">
        <x:v>诞</x:v>
      </x:c>
      <x:c r="H315" s="20" t="str">
        <x:v>戳</x:v>
      </x:c>
      <x:c r="I315" s="20" t="str"/>
      <x:c r="J315" s="20" t="str">
        <x:v>8BDE [TGH
1]</x:v>
      </x:c>
      <x:c r="K315" s="20" t="str"/>
      <x:c r="L315" s="20" t="str"/>
      <x:c r="M315" s="20" t="str"/>
      <x:c r="N315" s="20" t="str">
        <x:v>IDS / unencoded in 2022 source — review against Unicode 17 / GEJ</x:v>
      </x:c>
      <x:c r="O315" s="20" t="str">
        <x:v>High</x:v>
      </x:c>
      <x:c r="P315" s="20" t="str">
        <x:v>Structured</x:v>
      </x:c>
      <x:c r="Q315" s="20" t="str">
        <x:v>2.2.012 | ⿰讠旦 | 诞 | 戳 | 8BDE [TGH / 1] | </x:v>
      </x:c>
      <x:c r="R315" s="20" t="str">
        <x:v>Uploaded: n2924-SecondStageSimplificationStatusv3.pdf</x:v>
      </x:c>
    </x:row>
    <x:row r="316">
      <x:c r="A316" s="20" t="str">
        <x:v>2.2.013</x:v>
      </x:c>
      <x:c r="B316" s="20" t="n">
        <x:v>43</x:v>
      </x:c>
      <x:c r="C316" s="20" t="str">
        <x:v>Part Two</x:v>
      </x:c>
      <x:c r="D316" s="20" t="str">
        <x:v>2.2</x:v>
      </x:c>
      <x:c r="E316" s="20" t="str">
        <x:v>Part Two — Pictophonetic Simplifications</x:v>
      </x:c>
      <x:c r="F316" s="20" t="str">
        <x:v>39C5
[UNUSED]</x:v>
      </x:c>
      <x:c r="G316" s="20" t="str"/>
      <x:c r="H316" s="20" t="str">
        <x:v>诞</x:v>
      </x:c>
      <x:c r="I316" s="20" t="str"/>
      <x:c r="J316" s="20" t="str">
        <x:v>6363 [TGH
1]</x:v>
      </x:c>
      <x:c r="K316" s="20" t="str"/>
      <x:c r="L316" s="20" t="str">
        <x:v>U+39C5</x:v>
      </x:c>
      <x:c r="M316" s="20" t="str">
        <x:v>CJK Unified Ideographs Extension A</x:v>
      </x:c>
      <x:c r="N316" s="20" t="str">
        <x:v>Unicode code point recorded</x:v>
      </x:c>
      <x:c r="O316" s="20" t="str">
        <x:v>Low</x:v>
      </x:c>
      <x:c r="P316" s="20" t="str">
        <x:v>Structured</x:v>
      </x:c>
      <x:c r="Q316" s="20" t="str">
        <x:v>2.2.013 | 39C5 / [UNUSED] |  | 诞 | 6363 [TGH / 1] | </x:v>
      </x:c>
      <x:c r="R316" s="20" t="str">
        <x:v>Uploaded: n2924-SecondStageSimplificationStatusv3.pdf</x:v>
      </x:c>
    </x:row>
    <x:row r="317">
      <x:c r="A317" s="20" t="str">
        <x:v>2.2.014</x:v>
      </x:c>
      <x:c r="B317" s="20" t="n">
        <x:v>43</x:v>
      </x:c>
      <x:c r="C317" s="20" t="str">
        <x:v>Part Two</x:v>
      </x:c>
      <x:c r="D317" s="20" t="str">
        <x:v>2.2</x:v>
      </x:c>
      <x:c r="E317" s="20" t="str">
        <x:v>Part Two — Pictophonetic Simplifications</x:v>
      </x:c>
      <x:c r="F317" s="20" t="str">
        <x:v>⿰刁鸟</x:v>
      </x:c>
      <x:c r="G317" s="20" t="str">
        <x:v>㧅
雕</x:v>
      </x:c>
      <x:c r="H317" s="20" t="str">
        <x:v>捣
雕</x:v>
      </x:c>
      <x:c r="I317" s="20" t="str"/>
      <x:c r="J317" s="20" t="str">
        <x:v>96D5 [TGH
1]</x:v>
      </x:c>
      <x:c r="K317" s="20" t="str">
        <x:v>雕 is when
mean㏌g a
bird,
otherwise
2.1.010.
Note t㏊t
BE2 font
gives 雕
throughout
and thus
requires
user
discretion.</x:v>
      </x:c>
      <x:c r="L317" s="20" t="str"/>
      <x:c r="M317" s="20" t="str"/>
      <x:c r="N317" s="20" t="str">
        <x:v>IDS / unencoded in 2022 source — review against Unicode 17 / GEJ</x:v>
      </x:c>
      <x:c r="O317" s="20" t="str">
        <x:v>High</x:v>
      </x:c>
      <x:c r="P317" s="20" t="str">
        <x:v>Structured</x:v>
      </x:c>
      <x:c r="Q317" s="20" t="str">
        <x:v>2.2.014 | ⿰刁鸟 | 㧅 / 雕 | 捣 / 雕 | 96D5 [TGH / 1] | 雕 is when / mean㏌g a / bird, / otherwise / 2.1.010. / Note t㏊t / BE2 font / gives 雕 / throughout / and thus / requires / user / discretion.</x:v>
      </x:c>
      <x:c r="R317" s="20" t="str">
        <x:v>Uploaded: n2924-SecondStageSimplificationStatusv3.pdf</x:v>
      </x:c>
    </x:row>
    <x:row r="318">
      <x:c r="A318" s="20" t="str">
        <x:v>2.2.015</x:v>
      </x:c>
      <x:c r="B318" s="20" t="n">
        <x:v>43</x:v>
      </x:c>
      <x:c r="C318" s="20" t="str">
        <x:v>Part Two</x:v>
      </x:c>
      <x:c r="D318" s="20" t="str">
        <x:v>2.2</x:v>
      </x:c>
      <x:c r="E318" s="20" t="str">
        <x:v>Part Two — Pictophonetic Simplifications</x:v>
      </x:c>
      <x:c r="F318" s="20" t="str">
        <x:v>89C8 [TGH
1]</x:v>
      </x:c>
      <x:c r="G318" s="20" t="str"/>
      <x:c r="H318" s="20" t="str"/>
      <x:c r="I318" s="20" t="str"/>
      <x:c r="J318" s="20" t="str">
        <x:v>8776 [TGH
1]</x:v>
      </x:c>
      <x:c r="K318" s="20" t="str"/>
      <x:c r="L318" s="20" t="str">
        <x:v>U+89C8</x:v>
      </x:c>
      <x:c r="M318" s="20" t="str">
        <x:v>CJK Unified Ideographs</x:v>
      </x:c>
      <x:c r="N318" s="20" t="str">
        <x:v>Unicode code point recorded</x:v>
      </x:c>
      <x:c r="O318" s="20" t="str">
        <x:v>Low</x:v>
      </x:c>
      <x:c r="P318" s="20" t="str">
        <x:v>Structured</x:v>
      </x:c>
      <x:c r="Q318" s="20" t="str">
        <x:v>2.2.015 | 89C8 [TGH / 1] |  |  | 8776 [TGH / 1] | </x:v>
      </x:c>
      <x:c r="R318" s="20" t="str">
        <x:v>Uploaded: n2924-SecondStageSimplificationStatusv3.pdf</x:v>
      </x:c>
    </x:row>
    <x:row r="319">
      <x:c r="A319" s="20" t="str">
        <x:v>2.2.016</x:v>
      </x:c>
      <x:c r="B319" s="20" t="n">
        <x:v>44</x:v>
      </x:c>
      <x:c r="C319" s="20" t="str">
        <x:v>Part Two</x:v>
      </x:c>
      <x:c r="D319" s="20" t="str">
        <x:v>2.2</x:v>
      </x:c>
      <x:c r="E319" s="20" t="str">
        <x:v>Part Two — Pictophonetic Simplifications</x:v>
      </x:c>
      <x:c r="F319" s="20" t="str">
        <x:v>2B2A5
[UNUSED]</x:v>
      </x:c>
      <x:c r="G319" s="20" t="str">
        <x:v>蠹</x:v>
      </x:c>
      <x:c r="H319" s="20" t="str"/>
      <x:c r="I319" s="20" t="str"/>
      <x:c r="J319" s="20" t="str">
        <x:v>8839 [TGH
2]</x:v>
      </x:c>
      <x:c r="K319" s="20" t="str"/>
      <x:c r="L319" s="20" t="str">
        <x:v>U+2B2A5</x:v>
      </x:c>
      <x:c r="M319" s="20" t="str">
        <x:v>CJK Unified Ideographs Extension C</x:v>
      </x:c>
      <x:c r="N319" s="20" t="str">
        <x:v>Unicode code point recorded</x:v>
      </x:c>
      <x:c r="O319" s="20" t="str">
        <x:v>Low</x:v>
      </x:c>
      <x:c r="P319" s="20" t="str">
        <x:v>Structured</x:v>
      </x:c>
      <x:c r="Q319" s="20" t="str">
        <x:v>2.2.016 | 2B2A5 / [UNUSED] | 蠹 |  | 8839 [TGH / 2] | </x:v>
      </x:c>
      <x:c r="R319" s="20" t="str">
        <x:v>Uploaded: n2924-SecondStageSimplificationStatusv3.pdf</x:v>
      </x:c>
    </x:row>
    <x:row r="320">
      <x:c r="A320" s="20" t="str">
        <x:v>2.2.017</x:v>
      </x:c>
      <x:c r="B320" s="20" t="n">
        <x:v>44</x:v>
      </x:c>
      <x:c r="C320" s="20" t="str">
        <x:v>Part Two</x:v>
      </x:c>
      <x:c r="D320" s="20" t="str">
        <x:v>2.2</x:v>
      </x:c>
      <x:c r="E320" s="20" t="str">
        <x:v>Part Two — Pictophonetic Simplifications</x:v>
      </x:c>
      <x:c r="F320" s="20" t="str">
        <x:v>⿰扌凡</x:v>
      </x:c>
      <x:c r="G320" s="20" t="str">
        <x:v>翻</x:v>
      </x:c>
      <x:c r="H320" s="20" t="str">
        <x:v>蠹</x:v>
      </x:c>
      <x:c r="I320" s="20" t="str"/>
      <x:c r="J320" s="20" t="str">
        <x:v>7FFB [TGH
1]</x:v>
      </x:c>
      <x:c r="K320" s="20" t="str"/>
      <x:c r="L320" s="20" t="str"/>
      <x:c r="M320" s="20" t="str"/>
      <x:c r="N320" s="20" t="str">
        <x:v>IDS / unencoded in 2022 source — review against Unicode 17 / GEJ</x:v>
      </x:c>
      <x:c r="O320" s="20" t="str">
        <x:v>High</x:v>
      </x:c>
      <x:c r="P320" s="20" t="str">
        <x:v>Structured</x:v>
      </x:c>
      <x:c r="Q320" s="20" t="str">
        <x:v>2.2.017 | ⿰扌凡 | 翻 | 蠹 | 7FFB [TGH / 1] | </x:v>
      </x:c>
      <x:c r="R320" s="20" t="str">
        <x:v>Uploaded: n2924-SecondStageSimplificationStatusv3.pdf</x:v>
      </x:c>
    </x:row>
    <x:row r="321">
      <x:c r="A321" s="20" t="str">
        <x:v>2.2.018</x:v>
      </x:c>
      <x:c r="B321" s="20" t="n">
        <x:v>44</x:v>
      </x:c>
      <x:c r="C321" s="20" t="str">
        <x:v>Part Two</x:v>
      </x:c>
      <x:c r="D321" s="20" t="str">
        <x:v>2.2</x:v>
      </x:c>
      <x:c r="E321" s="20" t="str">
        <x:v>Part Two — Pictophonetic Simplifications</x:v>
      </x:c>
      <x:c r="F321" s="20" t="str">
        <x:v>⿰纟凡</x:v>
      </x:c>
      <x:c r="G321" s="20" t="str">
        <x:v>繁</x:v>
      </x:c>
      <x:c r="H321" s="20" t="str">
        <x:v>翻</x:v>
      </x:c>
      <x:c r="I321" s="20" t="str"/>
      <x:c r="J321" s="20" t="str">
        <x:v>7E41 [TGH
1]</x:v>
      </x:c>
      <x:c r="K321" s="20" t="str"/>
      <x:c r="L321" s="20" t="str"/>
      <x:c r="M321" s="20" t="str"/>
      <x:c r="N321" s="20" t="str">
        <x:v>IDS / unencoded in 2022 source — review against Unicode 17 / GEJ</x:v>
      </x:c>
      <x:c r="O321" s="20" t="str">
        <x:v>High</x:v>
      </x:c>
      <x:c r="P321" s="20" t="str">
        <x:v>Structured</x:v>
      </x:c>
      <x:c r="Q321" s="20" t="str">
        <x:v>2.2.018 | ⿰纟凡 | 繁 | 翻 | 7E41 [TGH / 1] | </x:v>
      </x:c>
      <x:c r="R321" s="20" t="str">
        <x:v>Uploaded: n2924-SecondStageSimplificationStatusv3.pdf</x:v>
      </x:c>
    </x:row>
    <x:row r="322">
      <x:c r="A322" s="20" t="str">
        <x:v>2.2.019</x:v>
      </x:c>
      <x:c r="B322" s="20" t="n">
        <x:v>44</x:v>
      </x:c>
      <x:c r="C322" s="20" t="str">
        <x:v>Part Two</x:v>
      </x:c>
      <x:c r="D322" s="20" t="str">
        <x:v>2.2</x:v>
      </x:c>
      <x:c r="E322" s="20" t="str">
        <x:v>Part Two — Pictophonetic Simplifications</x:v>
      </x:c>
      <x:c r="F322" s="20" t="str">
        <x:v>⿺辶丰</x:v>
      </x:c>
      <x:c r="G322" s="20" t="str">
        <x:v>逢</x:v>
      </x:c>
      <x:c r="H322" s="20" t="str">
        <x:v>繁</x:v>
      </x:c>
      <x:c r="I322" s="20" t="str"/>
      <x:c r="J322" s="20" t="str">
        <x:v>9022 [TGH
1]</x:v>
      </x:c>
      <x:c r="K322" s="20" t="str"/>
      <x:c r="L322" s="20" t="str"/>
      <x:c r="M322" s="20" t="str"/>
      <x:c r="N322" s="20" t="str">
        <x:v>IDS / unencoded in 2022 source — review against Unicode 17 / GEJ</x:v>
      </x:c>
      <x:c r="O322" s="20" t="str">
        <x:v>High</x:v>
      </x:c>
      <x:c r="P322" s="20" t="str">
        <x:v>Structured</x:v>
      </x:c>
      <x:c r="Q322" s="20" t="str">
        <x:v>2.2.019 | ⿺辶丰 | 逢 | 繁 | 9022 [TGH / 1] | </x:v>
      </x:c>
      <x:c r="R322" s="20" t="str">
        <x:v>Uploaded: n2924-SecondStageSimplificationStatusv3.pdf</x:v>
      </x:c>
    </x:row>
    <x:row r="323">
      <x:c r="A323" s="20" t="str">
        <x:v>2.2.020</x:v>
      </x:c>
      <x:c r="B323" s="20" t="n">
        <x:v>44</x:v>
      </x:c>
      <x:c r="C323" s="20" t="str">
        <x:v>Part Two</x:v>
      </x:c>
      <x:c r="D323" s="20" t="str">
        <x:v>2.2</x:v>
      </x:c>
      <x:c r="E323" s="20" t="str">
        <x:v>Part Two — Pictophonetic Simplifications</x:v>
      </x:c>
      <x:c r="F323" s="20" t="str">
        <x:v>⿰纟丰</x:v>
      </x:c>
      <x:c r="G323" s="20" t="str">
        <x:v>缝</x:v>
      </x:c>
      <x:c r="H323" s="20" t="str">
        <x:v>逢</x:v>
      </x:c>
      <x:c r="I323" s="20" t="str"/>
      <x:c r="J323" s="20" t="str">
        <x:v>7F1D [TGH
1]</x:v>
      </x:c>
      <x:c r="K323" s="20" t="str"/>
      <x:c r="L323" s="20" t="str"/>
      <x:c r="M323" s="20" t="str"/>
      <x:c r="N323" s="20" t="str">
        <x:v>IDS / unencoded in 2022 source — review against Unicode 17 / GEJ</x:v>
      </x:c>
      <x:c r="O323" s="20" t="str">
        <x:v>High</x:v>
      </x:c>
      <x:c r="P323" s="20" t="str">
        <x:v>Structured</x:v>
      </x:c>
      <x:c r="Q323" s="20" t="str">
        <x:v>2.2.020 | ⿰纟丰 | 缝 | 逢 | 7F1D [TGH / 1] | </x:v>
      </x:c>
      <x:c r="R323" s="20" t="str">
        <x:v>Uploaded: n2924-SecondStageSimplificationStatusv3.pdf</x:v>
      </x:c>
    </x:row>
    <x:row r="324">
      <x:c r="A324" s="20" t="str">
        <x:v>2.2.021</x:v>
      </x:c>
      <x:c r="B324" s="20" t="n">
        <x:v>44</x:v>
      </x:c>
      <x:c r="C324" s="20" t="str">
        <x:v>Part Two</x:v>
      </x:c>
      <x:c r="D324" s="20" t="str">
        <x:v>2.2</x:v>
      </x:c>
      <x:c r="E324" s="20" t="str">
        <x:v>Part Two — Pictophonetic Simplifications</x:v>
      </x:c>
      <x:c r="F324" s="20" t="str">
        <x:v>2ABC8
[UNUSED]</x:v>
      </x:c>
      <x:c r="G324" s="20" t="str">
        <x:v>敷</x:v>
      </x:c>
      <x:c r="H324" s="20" t="str">
        <x:v>缝</x:v>
      </x:c>
      <x:c r="I324" s="20" t="str"/>
      <x:c r="J324" s="20" t="str">
        <x:v>6577 [TGH
1]</x:v>
      </x:c>
      <x:c r="K324" s="20" t="str"/>
      <x:c r="L324" s="20" t="str">
        <x:v>U+2ABC8</x:v>
      </x:c>
      <x:c r="M324" s="20" t="str">
        <x:v>CJK Unified Ideographs Extension C</x:v>
      </x:c>
      <x:c r="N324" s="20" t="str">
        <x:v>Unicode code point recorded</x:v>
      </x:c>
      <x:c r="O324" s="20" t="str">
        <x:v>Low</x:v>
      </x:c>
      <x:c r="P324" s="20" t="str">
        <x:v>Structured</x:v>
      </x:c>
      <x:c r="Q324" s="20" t="str">
        <x:v>2.2.021 | 2ABC8 / [UNUSED] | 敷 | 缝 | 6577 [TGH / 1] | </x:v>
      </x:c>
      <x:c r="R324" s="20" t="str">
        <x:v>Uploaded: n2924-SecondStageSimplificationStatusv3.pdf</x:v>
      </x:c>
    </x:row>
    <x:row r="325">
      <x:c r="A325" s="20" t="str">
        <x:v>2.2.022</x:v>
      </x:c>
      <x:c r="B325" s="20" t="n">
        <x:v>44</x:v>
      </x:c>
      <x:c r="C325" s="20" t="str">
        <x:v>Part Two</x:v>
      </x:c>
      <x:c r="D325" s="20" t="str">
        <x:v>2.2</x:v>
      </x:c>
      <x:c r="E325" s="20" t="str">
        <x:v>Part Two — Pictophonetic Simplifications</x:v>
      </x:c>
      <x:c r="F325" s="20" t="str">
        <x:v>653C
[UNUSED]</x:v>
      </x:c>
      <x:c r="G325" s="20" t="str"/>
      <x:c r="H325" s="20" t="str">
        <x:v>敷</x:v>
      </x:c>
      <x:c r="I325" s="20" t="str"/>
      <x:c r="J325" s="20" t="str">
        <x:v>6562 [TGH
1]</x:v>
      </x:c>
      <x:c r="K325" s="20" t="str"/>
      <x:c r="L325" s="20" t="str">
        <x:v>U+653C</x:v>
      </x:c>
      <x:c r="M325" s="20" t="str">
        <x:v>CJK Unified Ideographs</x:v>
      </x:c>
      <x:c r="N325" s="20" t="str">
        <x:v>Unicode code point recorded</x:v>
      </x:c>
      <x:c r="O325" s="20" t="str">
        <x:v>Low</x:v>
      </x:c>
      <x:c r="P325" s="20" t="str">
        <x:v>Structured</x:v>
      </x:c>
      <x:c r="Q325" s="20" t="str">
        <x:v>2.2.022 | 653C / [UNUSED] |  | 敷 | 6562 [TGH / 1] | </x:v>
      </x:c>
      <x:c r="R325" s="20" t="str">
        <x:v>Uploaded: n2924-SecondStageSimplificationStatusv3.pdf</x:v>
      </x:c>
    </x:row>
    <x:row r="326">
      <x:c r="A326" s="20" t="str">
        <x:v>2.2.023</x:v>
      </x:c>
      <x:c r="B326" s="20" t="n">
        <x:v>44</x:v>
      </x:c>
      <x:c r="C326" s="20" t="str">
        <x:v>Part Two</x:v>
      </x:c>
      <x:c r="D326" s="20" t="str">
        <x:v>2.2</x:v>
      </x:c>
      <x:c r="E326" s="20" t="str">
        <x:v>Part Two — Pictophonetic Simplifications</x:v>
      </x:c>
      <x:c r="F326" s="20" t="str">
        <x:v>3DA5
[UNUSED H]</x:v>
      </x:c>
      <x:c r="G326" s="20" t="str">
        <x:v>攼</x:v>
      </x:c>
      <x:c r="H326" s="20" t="str">
        <x:v>敢</x:v>
      </x:c>
      <x:c r="I326" s="20" t="str"/>
      <x:c r="J326" s="20" t="str">
        <x:v>710A [TGH
1]</x:v>
      </x:c>
      <x:c r="K326" s="20" t="str"/>
      <x:c r="L326" s="20" t="str">
        <x:v>U+3DA5</x:v>
      </x:c>
      <x:c r="M326" s="20" t="str">
        <x:v>CJK Unified Ideographs Extension A</x:v>
      </x:c>
      <x:c r="N326" s="20" t="str">
        <x:v>Unicode code point recorded</x:v>
      </x:c>
      <x:c r="O326" s="20" t="str">
        <x:v>Low</x:v>
      </x:c>
      <x:c r="P326" s="20" t="str">
        <x:v>Structured</x:v>
      </x:c>
      <x:c r="Q326" s="20" t="str">
        <x:v>2.2.023 | 3DA5 / [UNUSED H] | 攼 | 敢 | 710A [TGH / 1] | </x:v>
      </x:c>
      <x:c r="R326" s="20" t="str">
        <x:v>Uploaded: n2924-SecondStageSimplificationStatusv3.pdf</x:v>
      </x:c>
    </x:row>
    <x:row r="327">
      <x:c r="A327" s="20" t="str">
        <x:v>2.2.024</x:v>
      </x:c>
      <x:c r="B327" s="20" t="n">
        <x:v>44</x:v>
      </x:c>
      <x:c r="C327" s="20" t="str">
        <x:v>Part Two</x:v>
      </x:c>
      <x:c r="D327" s="20" t="str">
        <x:v>2.2</x:v>
      </x:c>
      <x:c r="E327" s="20" t="str">
        <x:v>Part Two — Pictophonetic Simplifications</x:v>
      </x:c>
      <x:c r="F327" s="20" t="str">
        <x:v>57A5
[UNUSED
HMT]</x:v>
      </x:c>
      <x:c r="G327" s="20" t="str">
        <x:v>㶥
垥</x:v>
      </x:c>
      <x:c r="H327" s="20" t="str">
        <x:v>焊
壑</x:v>
      </x:c>
      <x:c r="I327" s="20" t="str"/>
      <x:c r="J327" s="20" t="str">
        <x:v>58D1 [TGH
2]</x:v>
      </x:c>
      <x:c r="K327" s="20" t="str"/>
      <x:c r="L327" s="20" t="str">
        <x:v>U+57A5</x:v>
      </x:c>
      <x:c r="M327" s="20" t="str">
        <x:v>CJK Unified Ideographs</x:v>
      </x:c>
      <x:c r="N327" s="20" t="str">
        <x:v>Unicode code point recorded</x:v>
      </x:c>
      <x:c r="O327" s="20" t="str">
        <x:v>Low</x:v>
      </x:c>
      <x:c r="P327" s="20" t="str">
        <x:v>Structured</x:v>
      </x:c>
      <x:c r="Q327" s="20" t="str">
        <x:v>2.2.024 | 57A5 / [UNUSED / HMT] | 㶥 / 垥 | 焊 / 壑 | 58D1 [TGH / 2] | </x:v>
      </x:c>
      <x:c r="R327" s="20" t="str">
        <x:v>Uploaded: n2924-SecondStageSimplificationStatusv3.pdf</x:v>
      </x:c>
    </x:row>
    <x:row r="328">
      <x:c r="A328" s="20" t="str">
        <x:v>2.2.025</x:v>
      </x:c>
      <x:c r="B328" s="20" t="n">
        <x:v>44</x:v>
      </x:c>
      <x:c r="C328" s="20" t="str">
        <x:v>Part Two</x:v>
      </x:c>
      <x:c r="D328" s="20" t="str">
        <x:v>2.2</x:v>
      </x:c>
      <x:c r="E328" s="20" t="str">
        <x:v>Part Two — Pictophonetic Simplifications</x:v>
      </x:c>
      <x:c r="F328" s="20" t="str">
        <x:v>3CB9
[UNUSED]</x:v>
      </x:c>
      <x:c r="G328" s="20" t="str"/>
      <x:c r="H328" s="20" t="str"/>
      <x:c r="I328" s="20" t="str"/>
      <x:c r="J328" s="20" t="str">
        <x:v>6FC0 [TGH
1]</x:v>
      </x:c>
      <x:c r="K328" s="20" t="str"/>
      <x:c r="L328" s="20" t="str">
        <x:v>U+3CB9</x:v>
      </x:c>
      <x:c r="M328" s="20" t="str">
        <x:v>CJK Unified Ideographs Extension A</x:v>
      </x:c>
      <x:c r="N328" s="20" t="str">
        <x:v>Unicode code point recorded</x:v>
      </x:c>
      <x:c r="O328" s="20" t="str">
        <x:v>Low</x:v>
      </x:c>
      <x:c r="P328" s="20" t="str">
        <x:v>Structured</x:v>
      </x:c>
      <x:c r="Q328" s="20" t="str">
        <x:v>2.2.025 | 3CB9 / [UNUSED] |  |  | 6FC0 [TGH / 1] | </x:v>
      </x:c>
      <x:c r="R328" s="20" t="str">
        <x:v>Uploaded: n2924-SecondStageSimplificationStatusv3.pdf</x:v>
      </x:c>
    </x:row>
    <x:row r="329">
      <x:c r="A329" s="20" t="str">
        <x:v>2.2.026</x:v>
      </x:c>
      <x:c r="B329" s="20" t="n">
        <x:v>44</x:v>
      </x:c>
      <x:c r="C329" s="20" t="str">
        <x:v>Part Two</x:v>
      </x:c>
      <x:c r="D329" s="20" t="str">
        <x:v>2.2</x:v>
      </x:c>
      <x:c r="E329" s="20" t="str">
        <x:v>Part Two — Pictophonetic Simplifications</x:v>
      </x:c>
      <x:c r="F329" s="20" t="str">
        <x:v>2C4E0
[UNUSED]</x:v>
      </x:c>
      <x:c r="G329" s="20" t="str">
        <x:v>㲹
稽</x:v>
      </x:c>
      <x:c r="H329" s="20" t="str">
        <x:v>激
稽嵇</x:v>
      </x:c>
      <x:c r="I329" s="20" t="str"/>
      <x:c r="J329" s="20" t="str">
        <x:v>7A3D [TGH
1]
5D47 [TGH
2]</x:v>
      </x:c>
      <x:c r="K329" s="20" t="str"/>
      <x:c r="L329" s="20" t="str">
        <x:v>U+2C4E0</x:v>
      </x:c>
      <x:c r="M329" s="20" t="str">
        <x:v>CJK Unified Ideographs Extension E</x:v>
      </x:c>
      <x:c r="N329" s="20" t="str">
        <x:v>Unicode code point recorded</x:v>
      </x:c>
      <x:c r="O329" s="20" t="str">
        <x:v>Low</x:v>
      </x:c>
      <x:c r="P329" s="20" t="str">
        <x:v>Structured</x:v>
      </x:c>
      <x:c r="Q329" s="20" t="str">
        <x:v>2.2.026 | 2C4E0 / [UNUSED] | 㲹 / 稽 | 激 / 稽嵇 | 7A3D [TGH / 1] / 5D47 [TGH / 2] | </x:v>
      </x:c>
      <x:c r="R329" s="20" t="str">
        <x:v>Uploaded: n2924-SecondStageSimplificationStatusv3.pdf</x:v>
      </x:c>
    </x:row>
    <x:row r="330">
      <x:c r="A330" s="20" t="str">
        <x:v>2.2.027</x:v>
      </x:c>
      <x:c r="B330" s="20" t="n">
        <x:v>44</x:v>
      </x:c>
      <x:c r="C330" s="20" t="str">
        <x:v>Part Two</x:v>
      </x:c>
      <x:c r="D330" s="20" t="str">
        <x:v>2.2</x:v>
      </x:c>
      <x:c r="E330" s="20" t="str">
        <x:v>Part Two — Pictophonetic Simplifications</x:v>
      </x:c>
      <x:c r="F330" s="20" t="str">
        <x:v>2CF65
[UNUSED]</x:v>
      </x:c>
      <x:c r="G330" s="20" t="str">
        <x:v>假</x:v>
      </x:c>
      <x:c r="H330" s="20" t="str"/>
      <x:c r="I330" s="20" t="str"/>
      <x:c r="J330" s="20" t="str">
        <x:v>5047 [TGH
1]</x:v>
      </x:c>
      <x:c r="K330" s="20" t="str"/>
      <x:c r="L330" s="20" t="str">
        <x:v>U+2CF65</x:v>
      </x:c>
      <x:c r="M330" s="20" t="str">
        <x:v>CJK Unified Ideographs Extension F</x:v>
      </x:c>
      <x:c r="N330" s="20" t="str">
        <x:v>Unicode code point recorded</x:v>
      </x:c>
      <x:c r="O330" s="20" t="str">
        <x:v>Low</x:v>
      </x:c>
      <x:c r="P330" s="20" t="str">
        <x:v>Structured</x:v>
      </x:c>
      <x:c r="Q330" s="20" t="str">
        <x:v>2.2.027 | 2CF65 / [UNUSED] | 假 |  | 5047 [TGH / 1] | </x:v>
      </x:c>
      <x:c r="R330" s="20" t="str">
        <x:v>Uploaded: n2924-SecondStageSimplificationStatusv3.pdf</x:v>
      </x:c>
    </x:row>
    <x:row r="331">
      <x:c r="A331" s="20" t="str">
        <x:v>2.2.028</x:v>
      </x:c>
      <x:c r="B331" s="20" t="n">
        <x:v>44</x:v>
      </x:c>
      <x:c r="C331" s="20" t="str">
        <x:v>Part Two</x:v>
      </x:c>
      <x:c r="D331" s="20" t="str">
        <x:v>2.2</x:v>
      </x:c>
      <x:c r="E331" s="20" t="str">
        <x:v>Part Two — Pictophonetic Simplifications</x:v>
      </x:c>
      <x:c r="F331" s="20" t="str">
        <x:v>2B209
[UNUSED]</x:v>
      </x:c>
      <x:c r="G331" s="20" t="str">
        <x:v>简</x:v>
      </x:c>
      <x:c r="H331" s="20" t="str">
        <x:v>假</x:v>
      </x:c>
      <x:c r="I331" s="20" t="str"/>
      <x:c r="J331" s="20" t="str">
        <x:v>7B80 [TGH
1]</x:v>
      </x:c>
      <x:c r="K331" s="20" t="str"/>
      <x:c r="L331" s="20" t="str">
        <x:v>U+2B209</x:v>
      </x:c>
      <x:c r="M331" s="20" t="str">
        <x:v>CJK Unified Ideographs Extension C</x:v>
      </x:c>
      <x:c r="N331" s="20" t="str">
        <x:v>Unicode code point recorded</x:v>
      </x:c>
      <x:c r="O331" s="20" t="str">
        <x:v>Low</x:v>
      </x:c>
      <x:c r="P331" s="20" t="str">
        <x:v>Structured</x:v>
      </x:c>
      <x:c r="Q331" s="20" t="str">
        <x:v>2.2.028 | 2B209 / [UNUSED] | 简 | 假 | 7B80 [TGH / 1] | </x:v>
      </x:c>
      <x:c r="R331" s="20" t="str">
        <x:v>Uploaded: n2924-SecondStageSimplificationStatusv3.pdf</x:v>
      </x:c>
    </x:row>
    <x:row r="332">
      <x:c r="A332" s="20" t="str">
        <x:v>2.2.029</x:v>
      </x:c>
      <x:c r="B332" s="20" t="n">
        <x:v>45</x:v>
      </x:c>
      <x:c r="C332" s="20" t="str">
        <x:v>Part Two</x:v>
      </x:c>
      <x:c r="D332" s="20" t="str">
        <x:v>2.2</x:v>
      </x:c>
      <x:c r="E332" s="20" t="str">
        <x:v>Part Two — Pictophonetic Simplifications</x:v>
      </x:c>
      <x:c r="F332" s="20" t="str">
        <x:v>4F23 [TGH
3]</x:v>
      </x:c>
      <x:c r="G332" s="20" t="str"/>
      <x:c r="H332" s="20" t="str"/>
      <x:c r="I332" s="20" t="str"/>
      <x:c r="J332" s="20" t="str">
        <x:v>5065 [TGH
1]</x:v>
      </x:c>
      <x:c r="K332" s="20" t="str"/>
      <x:c r="L332" s="20" t="str">
        <x:v>U+4F23</x:v>
      </x:c>
      <x:c r="M332" s="20" t="str">
        <x:v>CJK Unified Ideographs</x:v>
      </x:c>
      <x:c r="N332" s="20" t="str">
        <x:v>Unicode code point recorded</x:v>
      </x:c>
      <x:c r="O332" s="20" t="str">
        <x:v>Low</x:v>
      </x:c>
      <x:c r="P332" s="20" t="str">
        <x:v>Structured</x:v>
      </x:c>
      <x:c r="Q332" s="20" t="str">
        <x:v>2.2.029 | 4F23 [TGH / 3] |  |  | 5065 [TGH / 1] | </x:v>
      </x:c>
      <x:c r="R332" s="20" t="str">
        <x:v>Uploaded: n2924-SecondStageSimplificationStatusv3.pdf</x:v>
      </x:c>
    </x:row>
    <x:row r="333">
      <x:c r="A333" s="20" t="str">
        <x:v>2.2.030</x:v>
      </x:c>
      <x:c r="B333" s="20" t="n">
        <x:v>45</x:v>
      </x:c>
      <x:c r="C333" s="20" t="str">
        <x:v>Part Two</x:v>
      </x:c>
      <x:c r="D333" s="20" t="str">
        <x:v>2.2</x:v>
      </x:c>
      <x:c r="E333" s="20" t="str">
        <x:v>Part Two — Pictophonetic Simplifications</x:v>
      </x:c>
      <x:c r="F333" s="20" t="str">
        <x:v>⿰钅见</x:v>
      </x:c>
      <x:c r="G333" s="20" t="str">
        <x:v>伣
键</x:v>
      </x:c>
      <x:c r="H333" s="20" t="str">
        <x:v>健</x:v>
      </x:c>
      <x:c r="I333" s="20" t="str"/>
      <x:c r="J333" s="20" t="str">
        <x:v>952E [TGH
1]</x:v>
      </x:c>
      <x:c r="K333" s="20" t="str"/>
      <x:c r="L333" s="20" t="str"/>
      <x:c r="M333" s="20" t="str"/>
      <x:c r="N333" s="20" t="str">
        <x:v>IDS / unencoded in 2022 source — review against Unicode 17 / GEJ</x:v>
      </x:c>
      <x:c r="O333" s="20" t="str">
        <x:v>High</x:v>
      </x:c>
      <x:c r="P333" s="20" t="str">
        <x:v>Structured</x:v>
      </x:c>
      <x:c r="Q333" s="20" t="str">
        <x:v>2.2.030 | ⿰钅见 | 伣 / 键 | 健 | 952E [TGH / 1] | </x:v>
      </x:c>
      <x:c r="R333" s="20" t="str">
        <x:v>Uploaded: n2924-SecondStageSimplificationStatusv3.pdf</x:v>
      </x:c>
    </x:row>
    <x:row r="334">
      <x:c r="A334" s="20" t="str">
        <x:v>2.2.031</x:v>
      </x:c>
      <x:c r="B334" s="20" t="n">
        <x:v>45</x:v>
      </x:c>
      <x:c r="C334" s="20" t="str">
        <x:v>Part Two</x:v>
      </x:c>
      <x:c r="D334" s="20" t="str">
        <x:v>2.2</x:v>
      </x:c>
      <x:c r="E334" s="20" t="str">
        <x:v>Part Two — Pictophonetic Simplifications</x:v>
      </x:c>
      <x:c r="F334" s="20" t="str">
        <x:v>⿰耒工</x:v>
      </x:c>
      <x:c r="G334" s="20" t="str">
        <x:v>耩</x:v>
      </x:c>
      <x:c r="H334" s="20" t="str">
        <x:v>键</x:v>
      </x:c>
      <x:c r="I334" s="20" t="str"/>
      <x:c r="J334" s="20" t="str">
        <x:v>8029 [TGH
2]</x:v>
      </x:c>
      <x:c r="K334" s="20" t="str"/>
      <x:c r="L334" s="20" t="str"/>
      <x:c r="M334" s="20" t="str"/>
      <x:c r="N334" s="20" t="str">
        <x:v>IDS / unencoded in 2022 source — review against Unicode 17 / GEJ</x:v>
      </x:c>
      <x:c r="O334" s="20" t="str">
        <x:v>High</x:v>
      </x:c>
      <x:c r="P334" s="20" t="str">
        <x:v>Structured</x:v>
      </x:c>
      <x:c r="Q334" s="20" t="str">
        <x:v>2.2.031 | ⿰耒工 | 耩 | 键 | 8029 [TGH / 2] | </x:v>
      </x:c>
      <x:c r="R334" s="20" t="str">
        <x:v>Uploaded: n2924-SecondStageSimplificationStatusv3.pdf</x:v>
      </x:c>
    </x:row>
    <x:row r="335">
      <x:c r="A335" s="20" t="str">
        <x:v>2.2.032</x:v>
      </x:c>
      <x:c r="B335" s="20" t="n">
        <x:v>45</x:v>
      </x:c>
      <x:c r="C335" s="20" t="str">
        <x:v>Part Two</x:v>
      </x:c>
      <x:c r="D335" s="20" t="str">
        <x:v>2.2</x:v>
      </x:c>
      <x:c r="E335" s="20" t="str">
        <x:v>Part Two — Pictophonetic Simplifications</x:v>
      </x:c>
      <x:c r="F335" s="20" t="str">
        <x:v>20705
[UNUSED]</x:v>
      </x:c>
      <x:c r="G335" s="20" t="str">
        <x:v>剿</x:v>
      </x:c>
      <x:c r="H335" s="20" t="str">
        <x:v>耩</x:v>
      </x:c>
      <x:c r="I335" s="20" t="str"/>
      <x:c r="J335" s="20" t="str">
        <x:v>527F [TGH
1]</x:v>
      </x:c>
      <x:c r="K335" s="20" t="str"/>
      <x:c r="L335" s="20" t="str">
        <x:v>U+20705</x:v>
      </x:c>
      <x:c r="M335" s="20" t="str">
        <x:v>CJK Unified Ideographs Extension B</x:v>
      </x:c>
      <x:c r="N335" s="20" t="str">
        <x:v>Unicode code point recorded</x:v>
      </x:c>
      <x:c r="O335" s="20" t="str">
        <x:v>Low</x:v>
      </x:c>
      <x:c r="P335" s="20" t="str">
        <x:v>Structured</x:v>
      </x:c>
      <x:c r="Q335" s="20" t="str">
        <x:v>2.2.032 | 20705 / [UNUSED] | 剿 | 耩 | 527F [TGH / 1] | </x:v>
      </x:c>
      <x:c r="R335" s="20" t="str">
        <x:v>Uploaded: n2924-SecondStageSimplificationStatusv3.pdf</x:v>
      </x:c>
    </x:row>
    <x:row r="336">
      <x:c r="A336" s="20" t="str">
        <x:v>2.2.033</x:v>
      </x:c>
      <x:c r="B336" s="20" t="n">
        <x:v>45</x:v>
      </x:c>
      <x:c r="C336" s="20" t="str">
        <x:v>Part Two</x:v>
      </x:c>
      <x:c r="D336" s="20" t="str">
        <x:v>2.2</x:v>
      </x:c>
      <x:c r="E336" s="20" t="str">
        <x:v>Part Two — Pictophonetic Simplifications</x:v>
      </x:c>
      <x:c r="F336" s="20" t="str">
        <x:v>⿰忄井</x:v>
      </x:c>
      <x:c r="G336" s="20" t="str">
        <x:v>警</x:v>
      </x:c>
      <x:c r="H336" s="20" t="str">
        <x:v>剿
警儆</x:v>
      </x:c>
      <x:c r="I336" s="20" t="str"/>
      <x:c r="J336" s="20" t="str">
        <x:v>8B66 [TGH
1]
5106 [TGH
2]</x:v>
      </x:c>
      <x:c r="K336" s="20" t="str"/>
      <x:c r="L336" s="20" t="str"/>
      <x:c r="M336" s="20" t="str"/>
      <x:c r="N336" s="20" t="str">
        <x:v>IDS / unencoded in 2022 source — review against Unicode 17 / GEJ</x:v>
      </x:c>
      <x:c r="O336" s="20" t="str">
        <x:v>High</x:v>
      </x:c>
      <x:c r="P336" s="20" t="str">
        <x:v>Structured</x:v>
      </x:c>
      <x:c r="Q336" s="20" t="str">
        <x:v>2.2.033 | ⿰忄井 | 警 | 剿 / 警儆 | 8B66 [TGH / 1] / 5106 [TGH / 2] | </x:v>
      </x:c>
      <x:c r="R336" s="20" t="str">
        <x:v>Uploaded: n2924-SecondStageSimplificationStatusv3.pdf</x:v>
      </x:c>
    </x:row>
    <x:row r="337">
      <x:c r="A337" s="20" t="str">
        <x:v>2.2.034</x:v>
      </x:c>
      <x:c r="B337" s="20" t="n">
        <x:v>45</x:v>
      </x:c>
      <x:c r="C337" s="20" t="str">
        <x:v>Part Two</x:v>
      </x:c>
      <x:c r="D337" s="20" t="str">
        <x:v>2.2</x:v>
      </x:c>
      <x:c r="E337" s="20" t="str">
        <x:v>Part Two — Pictophonetic Simplifications</x:v>
      </x:c>
      <x:c r="F337" s="20" t="str">
        <x:v>⿸厂九</x:v>
      </x:c>
      <x:c r="G337" s="20" t="str">
        <x:v>厩</x:v>
      </x:c>
      <x:c r="H337" s="20" t="str"/>
      <x:c r="I337" s="20" t="str"/>
      <x:c r="J337" s="20" t="str">
        <x:v>53A9 [TGH
2]</x:v>
      </x:c>
      <x:c r="K337" s="20" t="str"/>
      <x:c r="L337" s="20" t="str"/>
      <x:c r="M337" s="20" t="str"/>
      <x:c r="N337" s="20" t="str">
        <x:v>IDS / unencoded in 2022 source — review against Unicode 17 / GEJ</x:v>
      </x:c>
      <x:c r="O337" s="20" t="str">
        <x:v>High</x:v>
      </x:c>
      <x:c r="P337" s="20" t="str">
        <x:v>Structured</x:v>
      </x:c>
      <x:c r="Q337" s="20" t="str">
        <x:v>2.2.034 | ⿸厂九 | 厩 |  | 53A9 [TGH / 2] | </x:v>
      </x:c>
      <x:c r="R337" s="20" t="str">
        <x:v>Uploaded: n2924-SecondStageSimplificationStatusv3.pdf</x:v>
      </x:c>
    </x:row>
    <x:row r="338">
      <x:c r="A338" s="20" t="str">
        <x:v>2.2.035</x:v>
      </x:c>
      <x:c r="B338" s="20" t="n">
        <x:v>45</x:v>
      </x:c>
      <x:c r="C338" s="20" t="str">
        <x:v>Part Two</x:v>
      </x:c>
      <x:c r="D338" s="20" t="str">
        <x:v>2.2</x:v>
      </x:c>
      <x:c r="E338" s="20" t="str">
        <x:v>Part Two — Pictophonetic Simplifications</x:v>
      </x:c>
      <x:c r="F338" s="20" t="str">
        <x:v>⿸厂夬</x:v>
      </x:c>
      <x:c r="G338" s="20" t="str">
        <x:v>厥</x:v>
      </x:c>
      <x:c r="H338" s="20" t="str">
        <x:v>厩</x:v>
      </x:c>
      <x:c r="I338" s="20" t="str"/>
      <x:c r="J338" s="20" t="str">
        <x:v>53A5 [TGH
2]</x:v>
      </x:c>
      <x:c r="K338" s="20" t="str"/>
      <x:c r="L338" s="20" t="str"/>
      <x:c r="M338" s="20" t="str"/>
      <x:c r="N338" s="20" t="str">
        <x:v>IDS / unencoded in 2022 source — review against Unicode 17 / GEJ</x:v>
      </x:c>
      <x:c r="O338" s="20" t="str">
        <x:v>High</x:v>
      </x:c>
      <x:c r="P338" s="20" t="str">
        <x:v>Structured</x:v>
      </x:c>
      <x:c r="Q338" s="20" t="str">
        <x:v>2.2.035 | ⿸厂夬 | 厥 | 厩 | 53A5 [TGH / 2] | </x:v>
      </x:c>
      <x:c r="R338" s="20" t="str">
        <x:v>Uploaded: n2924-SecondStageSimplificationStatusv3.pdf</x:v>
      </x:c>
    </x:row>
    <x:row r="339">
      <x:c r="A339" s="20" t="str">
        <x:v>2.2.036</x:v>
      </x:c>
      <x:c r="B339" s="20" t="n">
        <x:v>45</x:v>
      </x:c>
      <x:c r="C339" s="20" t="str">
        <x:v>Part Two</x:v>
      </x:c>
      <x:c r="D339" s="20" t="str">
        <x:v>2.2</x:v>
      </x:c>
      <x:c r="E339" s="20" t="str">
        <x:v>Part Two — Pictophonetic Simplifications</x:v>
      </x:c>
      <x:c r="F339" s="20" t="str">
        <x:v>40FF
[UNUSED]</x:v>
      </x:c>
      <x:c r="G339" s="20" t="str">
        <x:v>䃿</x:v>
      </x:c>
      <x:c r="H339" s="20" t="str">
        <x:v>厥
裤</x:v>
      </x:c>
      <x:c r="I339" s="20" t="str"/>
      <x:c r="J339" s="20" t="str">
        <x:v>88E4 [TGH
1]</x:v>
      </x:c>
      <x:c r="K339" s="20" t="str">
        <x:v>This is衭
submitted
to 2.9.006</x:v>
      </x:c>
      <x:c r="L339" s="20" t="str">
        <x:v>U+40FF</x:v>
      </x:c>
      <x:c r="M339" s="20" t="str">
        <x:v>CJK Unified Ideographs Extension A</x:v>
      </x:c>
      <x:c r="N339" s="20" t="str">
        <x:v>Unicode code point recorded</x:v>
      </x:c>
      <x:c r="O339" s="20" t="str">
        <x:v>Low</x:v>
      </x:c>
      <x:c r="P339" s="20" t="str">
        <x:v>Structured</x:v>
      </x:c>
      <x:c r="Q339" s="20" t="str">
        <x:v>2.2.036 | 40FF / [UNUSED] | 䃿 | 厥 / 裤 | 88E4 [TGH / 1] | This is衭 / submitted / to 2.9.006</x:v>
      </x:c>
      <x:c r="R339" s="20" t="str">
        <x:v>Uploaded: n2924-SecondStageSimplificationStatusv3.pdf</x:v>
      </x:c>
    </x:row>
    <x:row r="340">
      <x:c r="A340" s="20" t="str">
        <x:v>2.2.037</x:v>
      </x:c>
      <x:c r="B340" s="20" t="n">
        <x:v>45</x:v>
      </x:c>
      <x:c r="C340" s="20" t="str">
        <x:v>Part Two</x:v>
      </x:c>
      <x:c r="D340" s="20" t="str">
        <x:v>2.2</x:v>
      </x:c>
      <x:c r="E340" s="20" t="str">
        <x:v>Part Two — Pictophonetic Simplifications</x:v>
      </x:c>
      <x:c r="F340" s="20" t="str">
        <x:v>7AFB
[UNUSED
HMT]</x:v>
      </x:c>
      <x:c r="G340" s="20" t="str">
        <x:v>竻</x:v>
      </x:c>
      <x:c r="H340" s="20" t="str">
        <x:v>篱</x:v>
      </x:c>
      <x:c r="I340" s="20" t="str"/>
      <x:c r="J340" s="20" t="str">
        <x:v>7BF1 [TGH
1]</x:v>
      </x:c>
      <x:c r="K340" s="20" t="str"/>
      <x:c r="L340" s="20" t="str">
        <x:v>U+7AFB</x:v>
      </x:c>
      <x:c r="M340" s="20" t="str">
        <x:v>CJK Unified Ideographs</x:v>
      </x:c>
      <x:c r="N340" s="20" t="str">
        <x:v>Unicode code point recorded</x:v>
      </x:c>
      <x:c r="O340" s="20" t="str">
        <x:v>Low</x:v>
      </x:c>
      <x:c r="P340" s="20" t="str">
        <x:v>Structured</x:v>
      </x:c>
      <x:c r="Q340" s="20" t="str">
        <x:v>2.2.037 | 7AFB / [UNUSED / HMT] | 竻 | 篱 | 7BF1 [TGH / 1] | </x:v>
      </x:c>
      <x:c r="R340" s="20" t="str">
        <x:v>Uploaded: n2924-SecondStageSimplificationStatusv3.pdf</x:v>
      </x:c>
    </x:row>
    <x:row r="341">
      <x:c r="A341" s="20" t="str">
        <x:v>2.2.038</x:v>
      </x:c>
      <x:c r="B341" s="20" t="n">
        <x:v>45</x:v>
      </x:c>
      <x:c r="C341" s="20" t="str">
        <x:v>Part Two</x:v>
      </x:c>
      <x:c r="D341" s="20" t="str">
        <x:v>2.2</x:v>
      </x:c>
      <x:c r="E341" s="20" t="str">
        <x:v>Part Two — Pictophonetic Simplifications</x:v>
      </x:c>
      <x:c r="F341" s="20" t="str">
        <x:v>725E
[UNUSED
HMT]</x:v>
      </x:c>
      <x:c r="G341" s="20" t="str">
        <x:v>牞</x:v>
      </x:c>
      <x:c r="H341" s="20" t="str">
        <x:v>犁</x:v>
      </x:c>
      <x:c r="I341" s="20" t="str"/>
      <x:c r="J341" s="20" t="str">
        <x:v>7281 [TGH
1]</x:v>
      </x:c>
      <x:c r="K341" s="20" t="str"/>
      <x:c r="L341" s="20" t="str">
        <x:v>U+725E</x:v>
      </x:c>
      <x:c r="M341" s="20" t="str">
        <x:v>CJK Unified Ideographs</x:v>
      </x:c>
      <x:c r="N341" s="20" t="str">
        <x:v>Unicode code point recorded</x:v>
      </x:c>
      <x:c r="O341" s="20" t="str">
        <x:v>Low</x:v>
      </x:c>
      <x:c r="P341" s="20" t="str">
        <x:v>Structured</x:v>
      </x:c>
      <x:c r="Q341" s="20" t="str">
        <x:v>2.2.038 | 725E / [UNUSED / HMT] | 牞 | 犁 | 7281 [TGH / 1] | </x:v>
      </x:c>
      <x:c r="R341" s="20" t="str">
        <x:v>Uploaded: n2924-SecondStageSimplificationStatusv3.pdf</x:v>
      </x:c>
    </x:row>
    <x:row r="342">
      <x:c r="A342" s="20" t="str">
        <x:v>2.2.039</x:v>
      </x:c>
      <x:c r="B342" s="20" t="n">
        <x:v>45</x:v>
      </x:c>
      <x:c r="C342" s="20" t="str">
        <x:v>Part Two</x:v>
      </x:c>
      <x:c r="D342" s="20" t="str">
        <x:v>2.2</x:v>
      </x:c>
      <x:c r="E342" s="20" t="str">
        <x:v>Part Two — Pictophonetic Simplifications</x:v>
      </x:c>
      <x:c r="F342" s="20" t="str">
        <x:v>⿸疒力</x:v>
      </x:c>
      <x:c r="G342" s="20" t="str">
        <x:v>痢</x:v>
      </x:c>
      <x:c r="H342" s="20" t="str"/>
      <x:c r="I342" s="20" t="str"/>
      <x:c r="J342" s="20" t="str">
        <x:v>75E2 [TGH
1]</x:v>
      </x:c>
      <x:c r="K342" s="20" t="str"/>
      <x:c r="L342" s="20" t="str"/>
      <x:c r="M342" s="20" t="str"/>
      <x:c r="N342" s="20" t="str">
        <x:v>IDS / unencoded in 2022 source — review against Unicode 17 / GEJ</x:v>
      </x:c>
      <x:c r="O342" s="20" t="str">
        <x:v>High</x:v>
      </x:c>
      <x:c r="P342" s="20" t="str">
        <x:v>Structured</x:v>
      </x:c>
      <x:c r="Q342" s="20" t="str">
        <x:v>2.2.039 | ⿸疒力 | 痢 |  | 75E2 [TGH / 1] | </x:v>
      </x:c>
      <x:c r="R342" s="20" t="str">
        <x:v>Uploaded: n2924-SecondStageSimplificationStatusv3.pdf</x:v>
      </x:c>
    </x:row>
    <x:row r="343">
      <x:c r="A343" s="20" t="str">
        <x:v>2.2.040</x:v>
      </x:c>
      <x:c r="B343" s="20" t="n">
        <x:v>45</x:v>
      </x:c>
      <x:c r="C343" s="20" t="str">
        <x:v>Part Two</x:v>
      </x:c>
      <x:c r="D343" s="20" t="str">
        <x:v>2.2</x:v>
      </x:c>
      <x:c r="E343" s="20" t="str">
        <x:v>Part Two — Pictophonetic Simplifications</x:v>
      </x:c>
      <x:c r="F343" s="20" t="str">
        <x:v>52AF
[UNUSED]</x:v>
      </x:c>
      <x:c r="G343" s="20" t="str"/>
      <x:c r="H343" s="20" t="str">
        <x:v>痢</x:v>
      </x:c>
      <x:c r="I343" s="20" t="str"/>
      <x:c r="J343" s="20" t="str">
        <x:v>783E [TGH
1]</x:v>
      </x:c>
      <x:c r="K343" s="20" t="str"/>
      <x:c r="L343" s="20" t="str">
        <x:v>U+52AF</x:v>
      </x:c>
      <x:c r="M343" s="20" t="str">
        <x:v>CJK Unified Ideographs</x:v>
      </x:c>
      <x:c r="N343" s="20" t="str">
        <x:v>Unicode code point recorded</x:v>
      </x:c>
      <x:c r="O343" s="20" t="str">
        <x:v>Low</x:v>
      </x:c>
      <x:c r="P343" s="20" t="str">
        <x:v>Structured</x:v>
      </x:c>
      <x:c r="Q343" s="20" t="str">
        <x:v>2.2.040 | 52AF / [UNUSED] |  | 痢 | 783E [TGH / 1] | </x:v>
      </x:c>
      <x:c r="R343" s="20" t="str">
        <x:v>Uploaded: n2924-SecondStageSimplificationStatusv3.pdf</x:v>
      </x:c>
    </x:row>
    <x:row r="344">
      <x:c r="A344" s="20" t="str">
        <x:v>2.2.041</x:v>
      </x:c>
      <x:c r="B344" s="20" t="n">
        <x:v>45</x:v>
      </x:c>
      <x:c r="C344" s="20" t="str">
        <x:v>Part Two</x:v>
      </x:c>
      <x:c r="D344" s="20" t="str">
        <x:v>2.2</x:v>
      </x:c>
      <x:c r="E344" s="20" t="str">
        <x:v>Part Two — Pictophonetic Simplifications</x:v>
      </x:c>
      <x:c r="F344" s="20" t="str">
        <x:v>⿰彳力</x:v>
      </x:c>
      <x:c r="G344" s="20" t="str">
        <x:v>劯
律</x:v>
      </x:c>
      <x:c r="H344" s="20" t="str">
        <x:v>砾</x:v>
      </x:c>
      <x:c r="I344" s="20" t="str"/>
      <x:c r="J344" s="20" t="str">
        <x:v>5F8B [TGH
1]</x:v>
      </x:c>
      <x:c r="K344" s="20" t="str"/>
      <x:c r="L344" s="20" t="str"/>
      <x:c r="M344" s="20" t="str"/>
      <x:c r="N344" s="20" t="str">
        <x:v>IDS / unencoded in 2022 source — review against Unicode 17 / GEJ</x:v>
      </x:c>
      <x:c r="O344" s="20" t="str">
        <x:v>High</x:v>
      </x:c>
      <x:c r="P344" s="20" t="str">
        <x:v>Structured</x:v>
      </x:c>
      <x:c r="Q344" s="20" t="str">
        <x:v>2.2.041 | ⿰彳力 | 劯 / 律 | 砾 | 5F8B [TGH / 1] | </x:v>
      </x:c>
      <x:c r="R344" s="20" t="str">
        <x:v>Uploaded: n2924-SecondStageSimplificationStatusv3.pdf</x:v>
      </x:c>
    </x:row>
    <x:row r="345">
      <x:c r="A345" s="20" t="str">
        <x:v>2.2.042</x:v>
      </x:c>
      <x:c r="B345" s="20" t="n">
        <x:v>46</x:v>
      </x:c>
      <x:c r="C345" s="20" t="str">
        <x:v>Part Two</x:v>
      </x:c>
      <x:c r="D345" s="20" t="str">
        <x:v>2.2</x:v>
      </x:c>
      <x:c r="E345" s="20" t="str">
        <x:v>Part Two — Pictophonetic Simplifications</x:v>
      </x:c>
      <x:c r="F345" s="20" t="str">
        <x:v>⿱力十</x:v>
      </x:c>
      <x:c r="G345" s="20" t="str">
        <x:v>率</x:v>
      </x:c>
      <x:c r="H345" s="20" t="str"/>
      <x:c r="I345" s="20" t="str"/>
      <x:c r="J345" s="20" t="str">
        <x:v>7387 [TGH
1]</x:v>
      </x:c>
      <x:c r="K345" s="20" t="str"/>
      <x:c r="L345" s="20" t="str"/>
      <x:c r="M345" s="20" t="str"/>
      <x:c r="N345" s="20" t="str">
        <x:v>IDS / unencoded in 2022 source — review against Unicode 17 / GEJ</x:v>
      </x:c>
      <x:c r="O345" s="20" t="str">
        <x:v>High</x:v>
      </x:c>
      <x:c r="P345" s="20" t="str">
        <x:v>Structured</x:v>
      </x:c>
      <x:c r="Q345" s="20" t="str">
        <x:v>2.2.042 | ⿱力十 | 率 |  | 7387 [TGH / 1] | </x:v>
      </x:c>
      <x:c r="R345" s="20" t="str">
        <x:v>Uploaded: n2924-SecondStageSimplificationStatusv3.pdf</x:v>
      </x:c>
    </x:row>
    <x:row r="346">
      <x:c r="A346" s="20" t="str">
        <x:v>2.2.043</x:v>
      </x:c>
      <x:c r="B346" s="20" t="n">
        <x:v>46</x:v>
      </x:c>
      <x:c r="C346" s="20" t="str">
        <x:v>Part Two</x:v>
      </x:c>
      <x:c r="D346" s="20" t="str">
        <x:v>2.2</x:v>
      </x:c>
      <x:c r="E346" s="20" t="str">
        <x:v>Part Two — Pictophonetic Simplifications</x:v>
      </x:c>
      <x:c r="F346" s="20" t="str">
        <x:v>⿰耳了</x:v>
      </x:c>
      <x:c r="G346" s="20" t="str">
        <x:v>聊</x:v>
      </x:c>
      <x:c r="H346" s="20" t="str">
        <x:v>率
聊</x:v>
      </x:c>
      <x:c r="I346" s="20" t="str"/>
      <x:c r="J346" s="20" t="str">
        <x:v>804A [TGH
1]</x:v>
      </x:c>
      <x:c r="K346" s="20" t="str">
        <x:v>This is ⿰耳
了
submitted
to 2.8.012</x:v>
      </x:c>
      <x:c r="L346" s="20" t="str"/>
      <x:c r="M346" s="20" t="str"/>
      <x:c r="N346" s="20" t="str">
        <x:v>IDS / unencoded in 2022 source — review against Unicode 17 / GEJ</x:v>
      </x:c>
      <x:c r="O346" s="20" t="str">
        <x:v>High</x:v>
      </x:c>
      <x:c r="P346" s="20" t="str">
        <x:v>Structured</x:v>
      </x:c>
      <x:c r="Q346" s="20" t="str">
        <x:v>2.2.043 | ⿰耳了 | 聊 | 率 / 聊 | 804A [TGH / 1] | This is ⿰耳 / 了 / submitted / to 2.8.012</x:v>
      </x:c>
      <x:c r="R346" s="20" t="str">
        <x:v>Uploaded: n2924-SecondStageSimplificationStatusv3.pdf</x:v>
      </x:c>
    </x:row>
    <x:row r="347">
      <x:c r="A347" s="20" t="str">
        <x:v>2.2.044</x:v>
      </x:c>
      <x:c r="B347" s="20" t="n">
        <x:v>46</x:v>
      </x:c>
      <x:c r="C347" s="20" t="str">
        <x:v>Part Two</x:v>
      </x:c>
      <x:c r="D347" s="20" t="str">
        <x:v>2.2</x:v>
      </x:c>
      <x:c r="E347" s="20" t="str">
        <x:v>Part Two — Pictophonetic Simplifications</x:v>
      </x:c>
      <x:c r="F347" s="20" t="str">
        <x:v>⿱艹灭</x:v>
      </x:c>
      <x:c r="G347" s="20" t="str">
        <x:v>蔑</x:v>
      </x:c>
      <x:c r="H347" s="20" t="str">
        <x:v>蔑篾</x:v>
      </x:c>
      <x:c r="I347" s="20" t="str"/>
      <x:c r="J347" s="20" t="str">
        <x:v>8511 [TGH
1]
7BFE [TGH
2]</x:v>
      </x:c>
      <x:c r="K347" s="20" t="str"/>
      <x:c r="L347" s="20" t="str"/>
      <x:c r="M347" s="20" t="str"/>
      <x:c r="N347" s="20" t="str">
        <x:v>IDS / unencoded in 2022 source — review against Unicode 17 / GEJ</x:v>
      </x:c>
      <x:c r="O347" s="20" t="str">
        <x:v>High</x:v>
      </x:c>
      <x:c r="P347" s="20" t="str">
        <x:v>Structured</x:v>
      </x:c>
      <x:c r="Q347" s="20" t="str">
        <x:v>2.2.044 | ⿱艹灭 | 蔑 | 蔑篾 | 8511 [TGH / 1] / 7BFE [TGH / 2] | </x:v>
      </x:c>
      <x:c r="R347" s="20" t="str">
        <x:v>Uploaded: n2924-SecondStageSimplificationStatusv3.pdf</x:v>
      </x:c>
    </x:row>
    <x:row r="348">
      <x:c r="A348" s="20" t="str">
        <x:v>2.2.045</x:v>
      </x:c>
      <x:c r="B348" s="20" t="n">
        <x:v>46</x:v>
      </x:c>
      <x:c r="C348" s="20" t="str">
        <x:v>Part Two</x:v>
      </x:c>
      <x:c r="D348" s="20" t="str">
        <x:v>2.2</x:v>
      </x:c>
      <x:c r="E348" s="20" t="str">
        <x:v>Part Two — Pictophonetic Simplifications</x:v>
      </x:c>
      <x:c r="F348" s="20" t="str">
        <x:v>⿰虫名</x:v>
      </x:c>
      <x:c r="G348" s="20" t="str">
        <x:v>螟</x:v>
      </x:c>
      <x:c r="H348" s="20" t="str"/>
      <x:c r="I348" s="20" t="str"/>
      <x:c r="J348" s="20" t="str">
        <x:v>879F [TGH
2]</x:v>
      </x:c>
      <x:c r="K348" s="20" t="str"/>
      <x:c r="L348" s="20" t="str"/>
      <x:c r="M348" s="20" t="str"/>
      <x:c r="N348" s="20" t="str">
        <x:v>IDS / unencoded in 2022 source — review against Unicode 17 / GEJ</x:v>
      </x:c>
      <x:c r="O348" s="20" t="str">
        <x:v>High</x:v>
      </x:c>
      <x:c r="P348" s="20" t="str">
        <x:v>Structured</x:v>
      </x:c>
      <x:c r="Q348" s="20" t="str">
        <x:v>2.2.045 | ⿰虫名 | 螟 |  | 879F [TGH / 2] | </x:v>
      </x:c>
      <x:c r="R348" s="20" t="str">
        <x:v>Uploaded: n2924-SecondStageSimplificationStatusv3.pdf</x:v>
      </x:c>
    </x:row>
    <x:row r="349">
      <x:c r="A349" s="20" t="str">
        <x:v>2.2.046</x:v>
      </x:c>
      <x:c r="B349" s="20" t="n">
        <x:v>46</x:v>
      </x:c>
      <x:c r="C349" s="20" t="str">
        <x:v>Part Two</x:v>
      </x:c>
      <x:c r="D349" s="20" t="str">
        <x:v>2.2</x:v>
      </x:c>
      <x:c r="E349" s="20" t="str">
        <x:v>Part Two — Pictophonetic Simplifications</x:v>
      </x:c>
      <x:c r="F349" s="20" t="str">
        <x:v>⿱艹么</x:v>
      </x:c>
      <x:c r="G349" s="20" t="str">
        <x:v>蘑</x:v>
      </x:c>
      <x:c r="H349" s="20" t="str">
        <x:v>螟</x:v>
      </x:c>
      <x:c r="I349" s="20" t="str"/>
      <x:c r="J349" s="20" t="str">
        <x:v>8611 [TGH
1]</x:v>
      </x:c>
      <x:c r="K349" s="20" t="str"/>
      <x:c r="L349" s="20" t="str"/>
      <x:c r="M349" s="20" t="str"/>
      <x:c r="N349" s="20" t="str">
        <x:v>IDS / unencoded in 2022 source — review against Unicode 17 / GEJ</x:v>
      </x:c>
      <x:c r="O349" s="20" t="str">
        <x:v>High</x:v>
      </x:c>
      <x:c r="P349" s="20" t="str">
        <x:v>Structured</x:v>
      </x:c>
      <x:c r="Q349" s="20" t="str">
        <x:v>2.2.046 | ⿱艹么 | 蘑 | 螟 | 8611 [TGH / 1] | </x:v>
      </x:c>
      <x:c r="R349" s="20" t="str">
        <x:v>Uploaded: n2924-SecondStageSimplificationStatusv3.pdf</x:v>
      </x:c>
    </x:row>
    <x:row r="350">
      <x:c r="A350" s="20" t="str">
        <x:v>2.2.047</x:v>
      </x:c>
      <x:c r="B350" s="20" t="n">
        <x:v>46</x:v>
      </x:c>
      <x:c r="C350" s="20" t="str">
        <x:v>Part Two</x:v>
      </x:c>
      <x:c r="D350" s="20" t="str">
        <x:v>2.2</x:v>
      </x:c>
      <x:c r="E350" s="20" t="str">
        <x:v>Part Two — Pictophonetic Simplifications</x:v>
      </x:c>
      <x:c r="F350" s="20" t="str">
        <x:v>80D2
[UNUSED]</x:v>
      </x:c>
      <x:c r="G350" s="20" t="str"/>
      <x:c r="H350" s="20" t="str">
        <x:v>蘑</x:v>
      </x:c>
      <x:c r="I350" s="20" t="str"/>
      <x:c r="J350" s="20" t="str">
        <x:v>817B [TGH
1]</x:v>
      </x:c>
      <x:c r="K350" s="20" t="str"/>
      <x:c r="L350" s="20" t="str">
        <x:v>U+80D2</x:v>
      </x:c>
      <x:c r="M350" s="20" t="str">
        <x:v>CJK Unified Ideographs</x:v>
      </x:c>
      <x:c r="N350" s="20" t="str">
        <x:v>Unicode code point recorded</x:v>
      </x:c>
      <x:c r="O350" s="20" t="str">
        <x:v>Low</x:v>
      </x:c>
      <x:c r="P350" s="20" t="str">
        <x:v>Structured</x:v>
      </x:c>
      <x:c r="Q350" s="20" t="str">
        <x:v>2.2.047 | 80D2 / [UNUSED] |  | 蘑 | 817B [TGH / 1] | </x:v>
      </x:c>
      <x:c r="R350" s="20" t="str">
        <x:v>Uploaded: n2924-SecondStageSimplificationStatusv3.pdf</x:v>
      </x:c>
    </x:row>
    <x:row r="351">
      <x:c r="A351" s="20" t="str">
        <x:v>2.2.048</x:v>
      </x:c>
      <x:c r="B351" s="20" t="n">
        <x:v>46</x:v>
      </x:c>
      <x:c r="C351" s="20" t="str">
        <x:v>Part Two</x:v>
      </x:c>
      <x:c r="D351" s="20" t="str">
        <x:v>2.2</x:v>
      </x:c>
      <x:c r="E351" s="20" t="str">
        <x:v>Part Two — Pictophonetic Simplifications</x:v>
      </x:c>
      <x:c r="F351" s="20" t="str">
        <x:v>26BB4
[UNUSED]</x:v>
      </x:c>
      <x:c r="G351" s="20" t="str">
        <x:v>胒
蔫</x:v>
      </x:c>
      <x:c r="H351" s="20" t="str">
        <x:v>腻</x:v>
      </x:c>
      <x:c r="I351" s="20" t="str"/>
      <x:c r="J351" s="20" t="str">
        <x:v>852B [TGH
2]</x:v>
      </x:c>
      <x:c r="K351" s="20" t="str"/>
      <x:c r="L351" s="20" t="str">
        <x:v>U+26BB4</x:v>
      </x:c>
      <x:c r="M351" s="20" t="str">
        <x:v>CJK Unified Ideographs Extension B</x:v>
      </x:c>
      <x:c r="N351" s="20" t="str">
        <x:v>Unicode code point recorded</x:v>
      </x:c>
      <x:c r="O351" s="20" t="str">
        <x:v>Low</x:v>
      </x:c>
      <x:c r="P351" s="20" t="str">
        <x:v>Structured</x:v>
      </x:c>
      <x:c r="Q351" s="20" t="str">
        <x:v>2.2.048 | 26BB4 / [UNUSED] | 胒 / 蔫 | 腻 | 852B [TGH / 2] | </x:v>
      </x:c>
      <x:c r="R351" s="20" t="str">
        <x:v>Uploaded: n2924-SecondStageSimplificationStatusv3.pdf</x:v>
      </x:c>
    </x:row>
    <x:row r="352">
      <x:c r="A352" s="20" t="str">
        <x:v>2.2.049</x:v>
      </x:c>
      <x:c r="B352" s="20" t="n">
        <x:v>46</x:v>
      </x:c>
      <x:c r="C352" s="20" t="str">
        <x:v>Part Two</x:v>
      </x:c>
      <x:c r="D352" s="20" t="str">
        <x:v>2.2</x:v>
      </x:c>
      <x:c r="E352" s="20" t="str">
        <x:v>Part Two — Pictophonetic Simplifications</x:v>
      </x:c>
      <x:c r="F352" s="20" t="str">
        <x:v>⿱艹乜</x:v>
      </x:c>
      <x:c r="G352" s="20" t="str">
        <x:v>蘖</x:v>
      </x:c>
      <x:c r="H352" s="20" t="str">
        <x:v>蔫
蘖孽</x:v>
      </x:c>
      <x:c r="I352" s="20" t="str"/>
      <x:c r="J352" s="20" t="str">
        <x:v>8616 [TGH
2]
5B7D [TGH
1]</x:v>
      </x:c>
      <x:c r="K352" s="20" t="str"/>
      <x:c r="L352" s="20" t="str"/>
      <x:c r="M352" s="20" t="str"/>
      <x:c r="N352" s="20" t="str">
        <x:v>IDS / unencoded in 2022 source — review against Unicode 17 / GEJ</x:v>
      </x:c>
      <x:c r="O352" s="20" t="str">
        <x:v>High</x:v>
      </x:c>
      <x:c r="P352" s="20" t="str">
        <x:v>Structured</x:v>
      </x:c>
      <x:c r="Q352" s="20" t="str">
        <x:v>2.2.049 | ⿱艹乜 | 蘖 | 蔫 / 蘖孽 | 8616 [TGH / 2] / 5B7D [TGH / 1] | </x:v>
      </x:c>
      <x:c r="R352" s="20" t="str">
        <x:v>Uploaded: n2924-SecondStageSimplificationStatusv3.pdf</x:v>
      </x:c>
    </x:row>
    <x:row r="353">
      <x:c r="A353" s="20" t="str">
        <x:v>2.2.050</x:v>
      </x:c>
      <x:c r="B353" s="20" t="n">
        <x:v>46</x:v>
      </x:c>
      <x:c r="C353" s="20" t="str">
        <x:v>Part Two</x:v>
      </x:c>
      <x:c r="D353" s="20" t="str">
        <x:v>2.2</x:v>
      </x:c>
      <x:c r="E353" s="20" t="str">
        <x:v>Part Two — Pictophonetic Simplifications</x:v>
      </x:c>
      <x:c r="F353" s="20" t="str">
        <x:v>⿱艹区</x:v>
      </x:c>
      <x:c r="G353" s="20" t="str">
        <x:v>藕</x:v>
      </x:c>
      <x:c r="H353" s="20" t="str"/>
      <x:c r="I353" s="20" t="str"/>
      <x:c r="J353" s="20" t="str">
        <x:v>85D5 [TGH
1]</x:v>
      </x:c>
      <x:c r="K353" s="20" t="str"/>
      <x:c r="L353" s="20" t="str"/>
      <x:c r="M353" s="20" t="str"/>
      <x:c r="N353" s="20" t="str">
        <x:v>IDS / unencoded in 2022 source — review against Unicode 17 / GEJ</x:v>
      </x:c>
      <x:c r="O353" s="20" t="str">
        <x:v>High</x:v>
      </x:c>
      <x:c r="P353" s="20" t="str">
        <x:v>Structured</x:v>
      </x:c>
      <x:c r="Q353" s="20" t="str">
        <x:v>2.2.050 | ⿱艹区 | 藕 |  | 85D5 [TGH / 1] | </x:v>
      </x:c>
      <x:c r="R353" s="20" t="str">
        <x:v>Uploaded: n2924-SecondStageSimplificationStatusv3.pdf</x:v>
      </x:c>
    </x:row>
    <x:row r="354">
      <x:c r="A354" s="20" t="str">
        <x:v>2.2.051</x:v>
      </x:c>
      <x:c r="B354" s="20" t="n">
        <x:v>46</x:v>
      </x:c>
      <x:c r="C354" s="20" t="str">
        <x:v>Part Two</x:v>
      </x:c>
      <x:c r="D354" s="20" t="str">
        <x:v>2.2</x:v>
      </x:c>
      <x:c r="E354" s="20" t="str">
        <x:v>Part Two — Pictophonetic Simplifications</x:v>
      </x:c>
      <x:c r="F354" s="20" t="str">
        <x:v>⿺辶次</x:v>
      </x:c>
      <x:c r="G354" s="20" t="str">
        <x:v>遣</x:v>
      </x:c>
      <x:c r="H354" s="20" t="str">
        <x:v>藕</x:v>
      </x:c>
      <x:c r="I354" s="20" t="str"/>
      <x:c r="J354" s="20" t="str">
        <x:v>9063 [TGH
1]</x:v>
      </x:c>
      <x:c r="K354" s="20" t="str"/>
      <x:c r="L354" s="20" t="str"/>
      <x:c r="M354" s="20" t="str"/>
      <x:c r="N354" s="20" t="str">
        <x:v>IDS / unencoded in 2022 source — review against Unicode 17 / GEJ</x:v>
      </x:c>
      <x:c r="O354" s="20" t="str">
        <x:v>High</x:v>
      </x:c>
      <x:c r="P354" s="20" t="str">
        <x:v>Structured</x:v>
      </x:c>
      <x:c r="Q354" s="20" t="str">
        <x:v>2.2.051 | ⿺辶次 | 遣 | 藕 | 9063 [TGH / 1] | </x:v>
      </x:c>
      <x:c r="R354" s="20" t="str">
        <x:v>Uploaded: n2924-SecondStageSimplificationStatusv3.pdf</x:v>
      </x:c>
    </x:row>
    <x:row r="355">
      <x:c r="A355" s="20" t="str">
        <x:v>2.2.052</x:v>
      </x:c>
      <x:c r="B355" s="20" t="n">
        <x:v>46</x:v>
      </x:c>
      <x:c r="C355" s="20" t="str">
        <x:v>Part Two</x:v>
      </x:c>
      <x:c r="D355" s="20" t="str">
        <x:v>2.2</x:v>
      </x:c>
      <x:c r="E355" s="20" t="str">
        <x:v>Part Two — Pictophonetic Simplifications</x:v>
      </x:c>
      <x:c r="F355" s="20" t="str">
        <x:v>⿰讠⿺辶次</x:v>
      </x:c>
      <x:c r="G355" s="20" t="str">
        <x:v>谴</x:v>
      </x:c>
      <x:c r="H355" s="20" t="str">
        <x:v>遣</x:v>
      </x:c>
      <x:c r="I355" s="20" t="str"/>
      <x:c r="J355" s="20" t="str">
        <x:v>8C34 [TGH
1]</x:v>
      </x:c>
      <x:c r="K355" s="20" t="str"/>
      <x:c r="L355" s="20" t="str"/>
      <x:c r="M355" s="20" t="str"/>
      <x:c r="N355" s="20" t="str">
        <x:v>IDS / unencoded in 2022 source — review against Unicode 17 / GEJ</x:v>
      </x:c>
      <x:c r="O355" s="20" t="str">
        <x:v>High</x:v>
      </x:c>
      <x:c r="P355" s="20" t="str">
        <x:v>Structured</x:v>
      </x:c>
      <x:c r="Q355" s="20" t="str">
        <x:v>2.2.052 | ⿰讠⿺辶次 | 谴 | 遣 | 8C34 [TGH / 1] | </x:v>
      </x:c>
      <x:c r="R355" s="20" t="str">
        <x:v>Uploaded: n2924-SecondStageSimplificationStatusv3.pdf</x:v>
      </x:c>
    </x:row>
    <x:row r="356">
      <x:c r="A356" s="20" t="str">
        <x:v>2.2.053</x:v>
      </x:c>
      <x:c r="B356" s="20" t="n">
        <x:v>46</x:v>
      </x:c>
      <x:c r="C356" s="20" t="str">
        <x:v>Part Two</x:v>
      </x:c>
      <x:c r="D356" s="20" t="str">
        <x:v>2.2</x:v>
      </x:c>
      <x:c r="E356" s="20" t="str">
        <x:v>Part Two — Pictophonetic Simplifications</x:v>
      </x:c>
      <x:c r="F356" s="20" t="str">
        <x:v>2B4F1
[UNUSED]</x:v>
      </x:c>
      <x:c r="G356" s="20" t="str">
        <x:v>锹</x:v>
      </x:c>
      <x:c r="H356" s="20" t="str">
        <x:v>谴</x:v>
      </x:c>
      <x:c r="I356" s="20" t="str"/>
      <x:c r="J356" s="20" t="str">
        <x:v>9539 [TGH
1]</x:v>
      </x:c>
      <x:c r="K356" s="20" t="str"/>
      <x:c r="L356" s="20" t="str">
        <x:v>U+2B4F1</x:v>
      </x:c>
      <x:c r="M356" s="20" t="str">
        <x:v>CJK Unified Ideographs Extension C</x:v>
      </x:c>
      <x:c r="N356" s="20" t="str">
        <x:v>Unicode code point recorded</x:v>
      </x:c>
      <x:c r="O356" s="20" t="str">
        <x:v>Low</x:v>
      </x:c>
      <x:c r="P356" s="20" t="str">
        <x:v>Structured</x:v>
      </x:c>
      <x:c r="Q356" s="20" t="str">
        <x:v>2.2.053 | 2B4F1 / [UNUSED] | 锹 | 谴 | 9539 [TGH / 1] | </x:v>
      </x:c>
      <x:c r="R356" s="20" t="str">
        <x:v>Uploaded: n2924-SecondStageSimplificationStatusv3.pdf</x:v>
      </x:c>
    </x:row>
    <x:row r="357">
      <x:c r="A357" s="20" t="str">
        <x:v>2.2.054</x:v>
      </x:c>
      <x:c r="B357" s="20" t="n">
        <x:v>46</x:v>
      </x:c>
      <x:c r="C357" s="20" t="str">
        <x:v>Part Two</x:v>
      </x:c>
      <x:c r="D357" s="20" t="str">
        <x:v>2.2</x:v>
      </x:c>
      <x:c r="E357" s="20" t="str">
        <x:v>Part Two — Pictophonetic Simplifications</x:v>
      </x:c>
      <x:c r="F357" s="20" t="str">
        <x:v>⿰目乔</x:v>
      </x:c>
      <x:c r="G357" s="20" t="str">
        <x:v>瞧</x:v>
      </x:c>
      <x:c r="H357" s="20" t="str">
        <x:v>锹</x:v>
      </x:c>
      <x:c r="I357" s="20" t="str"/>
      <x:c r="J357" s="20" t="str">
        <x:v>77A7 [TGH
1]</x:v>
      </x:c>
      <x:c r="K357" s="20" t="str"/>
      <x:c r="L357" s="20" t="str"/>
      <x:c r="M357" s="20" t="str"/>
      <x:c r="N357" s="20" t="str">
        <x:v>IDS / unencoded in 2022 source — review against Unicode 17 / GEJ</x:v>
      </x:c>
      <x:c r="O357" s="20" t="str">
        <x:v>High</x:v>
      </x:c>
      <x:c r="P357" s="20" t="str">
        <x:v>Structured</x:v>
      </x:c>
      <x:c r="Q357" s="20" t="str">
        <x:v>2.2.054 | ⿰目乔 | 瞧 | 锹 | 77A7 [TGH / 1] | </x:v>
      </x:c>
      <x:c r="R357" s="20" t="str">
        <x:v>Uploaded: n2924-SecondStageSimplificationStatusv3.pdf</x:v>
      </x:c>
    </x:row>
    <x:row r="358">
      <x:c r="A358" s="20" t="str">
        <x:v>2.2.055</x:v>
      </x:c>
      <x:c r="B358" s="20" t="n">
        <x:v>47</x:v>
      </x:c>
      <x:c r="C358" s="20" t="str">
        <x:v>Part Two</x:v>
      </x:c>
      <x:c r="D358" s="20" t="str">
        <x:v>2.2</x:v>
      </x:c>
      <x:c r="E358" s="20" t="str">
        <x:v>Part Two — Pictophonetic Simplifications</x:v>
      </x:c>
      <x:c r="F358" s="20" t="str">
        <x:v>75A6
[UNUSED]</x:v>
      </x:c>
      <x:c r="G358" s="20" t="str"/>
      <x:c r="H358" s="20" t="str"/>
      <x:c r="I358" s="20" t="str"/>
      <x:c r="J358" s="20" t="str">
        <x:v>7638 [TGH
1]</x:v>
      </x:c>
      <x:c r="K358" s="20" t="str"/>
      <x:c r="L358" s="20" t="str">
        <x:v>U+75A6</x:v>
      </x:c>
      <x:c r="M358" s="20" t="str">
        <x:v>CJK Unified Ideographs</x:v>
      </x:c>
      <x:c r="N358" s="20" t="str">
        <x:v>Unicode code point recorded</x:v>
      </x:c>
      <x:c r="O358" s="20" t="str">
        <x:v>Low</x:v>
      </x:c>
      <x:c r="P358" s="20" t="str">
        <x:v>Structured</x:v>
      </x:c>
      <x:c r="Q358" s="20" t="str">
        <x:v>2.2.055 | 75A6 / [UNUSED] |  |  | 7638 [TGH / 1] | </x:v>
      </x:c>
      <x:c r="R358" s="20" t="str">
        <x:v>Uploaded: n2924-SecondStageSimplificationStatusv3.pdf</x:v>
      </x:c>
    </x:row>
    <x:row r="359">
      <x:c r="A359" s="20" t="str">
        <x:v>2.2.056</x:v>
      </x:c>
      <x:c r="B359" s="20" t="n">
        <x:v>47</x:v>
      </x:c>
      <x:c r="C359" s="20" t="str">
        <x:v>Part Two</x:v>
      </x:c>
      <x:c r="D359" s="20" t="str">
        <x:v>2.2</x:v>
      </x:c>
      <x:c r="E359" s="20" t="str">
        <x:v>Part Two — Pictophonetic Simplifications</x:v>
      </x:c>
      <x:c r="F359" s="20" t="str">
        <x:v>⿺瓜上</x:v>
      </x:c>
      <x:c r="G359" s="20" t="str">
        <x:v>疦
瓤</x:v>
      </x:c>
      <x:c r="H359" s="20" t="str">
        <x:v>瘸</x:v>
      </x:c>
      <x:c r="I359" s="20" t="str"/>
      <x:c r="J359" s="20" t="str">
        <x:v>74E4 [TGH
1]</x:v>
      </x:c>
      <x:c r="K359" s="20" t="str"/>
      <x:c r="L359" s="20" t="str"/>
      <x:c r="M359" s="20" t="str"/>
      <x:c r="N359" s="20" t="str">
        <x:v>IDS / unencoded in 2022 source — review against Unicode 17 / GEJ</x:v>
      </x:c>
      <x:c r="O359" s="20" t="str">
        <x:v>High</x:v>
      </x:c>
      <x:c r="P359" s="20" t="str">
        <x:v>Structured</x:v>
      </x:c>
      <x:c r="Q359" s="20" t="str">
        <x:v>2.2.056 | ⿺瓜上 | 疦 / 瓤 | 瘸 | 74E4 [TGH / 1] | </x:v>
      </x:c>
      <x:c r="R359" s="20" t="str">
        <x:v>Uploaded: n2924-SecondStageSimplificationStatusv3.pdf</x:v>
      </x:c>
    </x:row>
    <x:row r="360">
      <x:c r="A360" s="20" t="str">
        <x:v>2.2.057</x:v>
      </x:c>
      <x:c r="B360" s="20" t="n">
        <x:v>47</x:v>
      </x:c>
      <x:c r="C360" s="20" t="str">
        <x:v>Part Two</x:v>
      </x:c>
      <x:c r="D360" s="20" t="str">
        <x:v>2.2</x:v>
      </x:c>
      <x:c r="E360" s="20" t="str">
        <x:v>Part Two — Pictophonetic Simplifications</x:v>
      </x:c>
      <x:c r="F360" s="20" t="str">
        <x:v>⿰扌上</x:v>
      </x:c>
      <x:c r="G360" s="20" t="str">
        <x:v>攘</x:v>
      </x:c>
      <x:c r="H360" s="20" t="str">
        <x:v>瓤</x:v>
      </x:c>
      <x:c r="I360" s="20" t="str"/>
      <x:c r="J360" s="20" t="str">
        <x:v>6518 [TGH
2]</x:v>
      </x:c>
      <x:c r="K360" s="20" t="str"/>
      <x:c r="L360" s="20" t="str"/>
      <x:c r="M360" s="20" t="str"/>
      <x:c r="N360" s="20" t="str">
        <x:v>IDS / unencoded in 2022 source — review against Unicode 17 / GEJ</x:v>
      </x:c>
      <x:c r="O360" s="20" t="str">
        <x:v>High</x:v>
      </x:c>
      <x:c r="P360" s="20" t="str">
        <x:v>Structured</x:v>
      </x:c>
      <x:c r="Q360" s="20" t="str">
        <x:v>2.2.057 | ⿰扌上 | 攘 | 瓤 | 6518 [TGH / 2] | </x:v>
      </x:c>
      <x:c r="R360" s="20" t="str">
        <x:v>Uploaded: n2924-SecondStageSimplificationStatusv3.pdf</x:v>
      </x:c>
    </x:row>
    <x:row r="361">
      <x:c r="A361" s="20" t="str">
        <x:v>2.2.058</x:v>
      </x:c>
      <x:c r="B361" s="20" t="n">
        <x:v>47</x:v>
      </x:c>
      <x:c r="C361" s="20" t="str">
        <x:v>Part Two</x:v>
      </x:c>
      <x:c r="D361" s="20" t="str">
        <x:v>2.2</x:v>
      </x:c>
      <x:c r="E361" s="20" t="str">
        <x:v>Part Two — Pictophonetic Simplifications</x:v>
      </x:c>
      <x:c r="F361" s="20" t="str">
        <x:v>⿰子入</x:v>
      </x:c>
      <x:c r="G361" s="20" t="str">
        <x:v>孺</x:v>
      </x:c>
      <x:c r="H361" s="20" t="str">
        <x:v>攘</x:v>
      </x:c>
      <x:c r="I361" s="20" t="str"/>
      <x:c r="J361" s="20" t="str">
        <x:v>5B7A [TGH
2]</x:v>
      </x:c>
      <x:c r="K361" s="20" t="str"/>
      <x:c r="L361" s="20" t="str"/>
      <x:c r="M361" s="20" t="str"/>
      <x:c r="N361" s="20" t="str">
        <x:v>IDS / unencoded in 2022 source — review against Unicode 17 / GEJ</x:v>
      </x:c>
      <x:c r="O361" s="20" t="str">
        <x:v>High</x:v>
      </x:c>
      <x:c r="P361" s="20" t="str">
        <x:v>Structured</x:v>
      </x:c>
      <x:c r="Q361" s="20" t="str">
        <x:v>2.2.058 | ⿰子入 | 孺 | 攘 | 5B7A [TGH / 2] | </x:v>
      </x:c>
      <x:c r="R361" s="20" t="str">
        <x:v>Uploaded: n2924-SecondStageSimplificationStatusv3.pdf</x:v>
      </x:c>
    </x:row>
    <x:row r="362">
      <x:c r="A362" s="20" t="str">
        <x:v>2.2.059</x:v>
      </x:c>
      <x:c r="B362" s="20" t="n">
        <x:v>47</x:v>
      </x:c>
      <x:c r="C362" s="20" t="str">
        <x:v>Part Two</x:v>
      </x:c>
      <x:c r="D362" s="20" t="str">
        <x:v>2.2</x:v>
      </x:c>
      <x:c r="E362" s="20" t="str">
        <x:v>Part Two — Pictophonetic Simplifications</x:v>
      </x:c>
      <x:c r="F362" s="20" t="str">
        <x:v>⿰虫入</x:v>
      </x:c>
      <x:c r="G362" s="20" t="str">
        <x:v>蠕</x:v>
      </x:c>
      <x:c r="H362" s="20" t="str">
        <x:v>孺</x:v>
      </x:c>
      <x:c r="I362" s="20" t="str"/>
      <x:c r="J362" s="20" t="str">
        <x:v>8815 [TGH
1]</x:v>
      </x:c>
      <x:c r="K362" s="20" t="str"/>
      <x:c r="L362" s="20" t="str"/>
      <x:c r="M362" s="20" t="str"/>
      <x:c r="N362" s="20" t="str">
        <x:v>IDS / unencoded in 2022 source — review against Unicode 17 / GEJ</x:v>
      </x:c>
      <x:c r="O362" s="20" t="str">
        <x:v>High</x:v>
      </x:c>
      <x:c r="P362" s="20" t="str">
        <x:v>Structured</x:v>
      </x:c>
      <x:c r="Q362" s="20" t="str">
        <x:v>2.2.059 | ⿰虫入 | 蠕 | 孺 | 8815 [TGH / 1] | </x:v>
      </x:c>
      <x:c r="R362" s="20" t="str">
        <x:v>Uploaded: n2924-SecondStageSimplificationStatusv3.pdf</x:v>
      </x:c>
    </x:row>
    <x:row r="363">
      <x:c r="A363" s="20" t="str">
        <x:v>2.2.060</x:v>
      </x:c>
      <x:c r="B363" s="20" t="n">
        <x:v>47</x:v>
      </x:c>
      <x:c r="C363" s="20" t="str">
        <x:v>Part Two</x:v>
      </x:c>
      <x:c r="D363" s="20" t="str">
        <x:v>2.2</x:v>
      </x:c>
      <x:c r="E363" s="20" t="str">
        <x:v>Part Two — Pictophonetic Simplifications</x:v>
      </x:c>
      <x:c r="F363" s="20" t="str">
        <x:v>⿱入寸</x:v>
      </x:c>
      <x:c r="G363" s="20" t="str">
        <x:v>辱</x:v>
      </x:c>
      <x:c r="H363" s="20" t="str">
        <x:v>蠕</x:v>
      </x:c>
      <x:c r="I363" s="20" t="str"/>
      <x:c r="J363" s="20" t="str">
        <x:v>8FB1 [TGH
1]</x:v>
      </x:c>
      <x:c r="K363" s="20" t="str"/>
      <x:c r="L363" s="20" t="str"/>
      <x:c r="M363" s="20" t="str"/>
      <x:c r="N363" s="20" t="str">
        <x:v>IDS / unencoded in 2022 source — review against Unicode 17 / GEJ</x:v>
      </x:c>
      <x:c r="O363" s="20" t="str">
        <x:v>High</x:v>
      </x:c>
      <x:c r="P363" s="20" t="str">
        <x:v>Structured</x:v>
      </x:c>
      <x:c r="Q363" s="20" t="str">
        <x:v>2.2.060 | ⿱入寸 | 辱 | 蠕 | 8FB1 [TGH / 1] | </x:v>
      </x:c>
      <x:c r="R363" s="20" t="str">
        <x:v>Uploaded: n2924-SecondStageSimplificationStatusv3.pdf</x:v>
      </x:c>
    </x:row>
    <x:row r="364">
      <x:c r="A364" s="20" t="str">
        <x:v>2.2.061</x:v>
      </x:c>
      <x:c r="B364" s="20" t="n">
        <x:v>47</x:v>
      </x:c>
      <x:c r="C364" s="20" t="str">
        <x:v>Part Two</x:v>
      </x:c>
      <x:c r="D364" s="20" t="str">
        <x:v>2.2</x:v>
      </x:c>
      <x:c r="E364" s="20" t="str">
        <x:v>Part Two — Pictophonetic Simplifications</x:v>
      </x:c>
      <x:c r="F364" s="20" t="str">
        <x:v>⿰礻入</x:v>
      </x:c>
      <x:c r="G364" s="20" t="str">
        <x:v>襦</x:v>
      </x:c>
      <x:c r="H364" s="20" t="str">
        <x:v>辱
襦</x:v>
      </x:c>
      <x:c r="I364" s="20" t="str"/>
      <x:c r="J364" s="20" t="str">
        <x:v>8966 [TGH
2]</x:v>
      </x:c>
      <x:c r="K364" s="20" t="str">
        <x:v>This is 𬡂𬡂
submitted
to 2.9.006</x:v>
      </x:c>
      <x:c r="L364" s="20" t="str"/>
      <x:c r="M364" s="20" t="str"/>
      <x:c r="N364" s="20" t="str">
        <x:v>IDS / unencoded in 2022 source — review against Unicode 17 / GEJ</x:v>
      </x:c>
      <x:c r="O364" s="20" t="str">
        <x:v>High</x:v>
      </x:c>
      <x:c r="P364" s="20" t="str">
        <x:v>Structured</x:v>
      </x:c>
      <x:c r="Q364" s="20" t="str">
        <x:v>2.2.061 | ⿰礻入 | 襦 | 辱 / 襦 | 8966 [TGH / 2] | This is 𬡂𬡂 / submitted / to 2.9.006</x:v>
      </x:c>
      <x:c r="R364" s="20" t="str">
        <x:v>Uploaded: n2924-SecondStageSimplificationStatusv3.pdf</x:v>
      </x:c>
    </x:row>
    <x:row r="365">
      <x:c r="A365" s="20" t="str">
        <x:v>2.2.062</x:v>
      </x:c>
      <x:c r="B365" s="20" t="n">
        <x:v>47</x:v>
      </x:c>
      <x:c r="C365" s="20" t="str">
        <x:v>Part Two</x:v>
      </x:c>
      <x:c r="D365" s="20" t="str">
        <x:v>2.2</x:v>
      </x:c>
      <x:c r="E365" s="20" t="str">
        <x:v>Part Two — Pictophonetic Simplifications</x:v>
      </x:c>
      <x:c r="F365" s="20" t="str">
        <x:v>⿰扌三</x:v>
      </x:c>
      <x:c r="G365" s="20" t="str">
        <x:v>撒</x:v>
      </x:c>
      <x:c r="H365" s="20" t="str"/>
      <x:c r="I365" s="20" t="str"/>
      <x:c r="J365" s="20" t="str">
        <x:v>6492 [TGH
1]</x:v>
      </x:c>
      <x:c r="K365" s="20" t="str"/>
      <x:c r="L365" s="20" t="str"/>
      <x:c r="M365" s="20" t="str"/>
      <x:c r="N365" s="20" t="str">
        <x:v>IDS / unencoded in 2022 source — review against Unicode 17 / GEJ</x:v>
      </x:c>
      <x:c r="O365" s="20" t="str">
        <x:v>High</x:v>
      </x:c>
      <x:c r="P365" s="20" t="str">
        <x:v>Structured</x:v>
      </x:c>
      <x:c r="Q365" s="20" t="str">
        <x:v>2.2.062 | ⿰扌三 | 撒 |  | 6492 [TGH / 1] | </x:v>
      </x:c>
      <x:c r="R365" s="20" t="str">
        <x:v>Uploaded: n2924-SecondStageSimplificationStatusv3.pdf</x:v>
      </x:c>
    </x:row>
    <x:row r="366">
      <x:c r="A366" s="20" t="str">
        <x:v>2.2.063</x:v>
      </x:c>
      <x:c r="B366" s="20" t="n">
        <x:v>47</x:v>
      </x:c>
      <x:c r="C366" s="20" t="str">
        <x:v>Part Two</x:v>
      </x:c>
      <x:c r="D366" s="20" t="str">
        <x:v>2.2</x:v>
      </x:c>
      <x:c r="E366" s="20" t="str">
        <x:v>Part Two — Pictophonetic Simplifications</x:v>
      </x:c>
      <x:c r="F366" s="20" t="str">
        <x:v>⿰羊山</x:v>
      </x:c>
      <x:c r="G366" s="20" t="str">
        <x:v>膻</x:v>
      </x:c>
      <x:c r="H366" s="20" t="str">
        <x:v>撒</x:v>
      </x:c>
      <x:c r="I366" s="20" t="str"/>
      <x:c r="J366" s="20" t="str">
        <x:v>81BB [TGH
2]</x:v>
      </x:c>
      <x:c r="K366" s="20" t="str"/>
      <x:c r="L366" s="20" t="str"/>
      <x:c r="M366" s="20" t="str"/>
      <x:c r="N366" s="20" t="str">
        <x:v>IDS / unencoded in 2022 source — review against Unicode 17 / GEJ</x:v>
      </x:c>
      <x:c r="O366" s="20" t="str">
        <x:v>High</x:v>
      </x:c>
      <x:c r="P366" s="20" t="str">
        <x:v>Structured</x:v>
      </x:c>
      <x:c r="Q366" s="20" t="str">
        <x:v>2.2.063 | ⿰羊山 | 膻 | 撒 | 81BB [TGH / 2] | </x:v>
      </x:c>
      <x:c r="R366" s="20" t="str">
        <x:v>Uploaded: n2924-SecondStageSimplificationStatusv3.pdf</x:v>
      </x:c>
    </x:row>
    <x:row r="367">
      <x:c r="A367" s="20" t="str">
        <x:v>2.2.064</x:v>
      </x:c>
      <x:c r="B367" s="20" t="n">
        <x:v>47</x:v>
      </x:c>
      <x:c r="C367" s="20" t="str">
        <x:v>Part Two</x:v>
      </x:c>
      <x:c r="D367" s="20" t="str">
        <x:v>2.2</x:v>
      </x:c>
      <x:c r="E367" s="20" t="str">
        <x:v>Part Two — Pictophonetic Simplifications</x:v>
      </x:c>
      <x:c r="F367" s="20" t="str">
        <x:v>22A73
[UNUSED]</x:v>
      </x:c>
      <x:c r="G367" s="20" t="str">
        <x:v>擅</x:v>
      </x:c>
      <x:c r="H367" s="20" t="str">
        <x:v>膻</x:v>
      </x:c>
      <x:c r="I367" s="20" t="str"/>
      <x:c r="J367" s="20" t="str">
        <x:v>64C5 [TGH
1]</x:v>
      </x:c>
      <x:c r="K367" s="20" t="str"/>
      <x:c r="L367" s="20" t="str">
        <x:v>U+22A73</x:v>
      </x:c>
      <x:c r="M367" s="20" t="str">
        <x:v>CJK Unified Ideographs Extension B</x:v>
      </x:c>
      <x:c r="N367" s="20" t="str">
        <x:v>Unicode code point recorded</x:v>
      </x:c>
      <x:c r="O367" s="20" t="str">
        <x:v>Low</x:v>
      </x:c>
      <x:c r="P367" s="20" t="str">
        <x:v>Structured</x:v>
      </x:c>
      <x:c r="Q367" s="20" t="str">
        <x:v>2.2.064 | 22A73 / [UNUSED] | 擅 | 膻 | 64C5 [TGH / 1] | </x:v>
      </x:c>
      <x:c r="R367" s="20" t="str">
        <x:v>Uploaded: n2924-SecondStageSimplificationStatusv3.pdf</x:v>
      </x:c>
    </x:row>
    <x:row r="368">
      <x:c r="A368" s="20" t="str">
        <x:v>2.2.065</x:v>
      </x:c>
      <x:c r="B368" s="20" t="n">
        <x:v>47</x:v>
      </x:c>
      <x:c r="C368" s="20" t="str">
        <x:v>Part Two</x:v>
      </x:c>
      <x:c r="D368" s="20" t="str">
        <x:v>2.2</x:v>
      </x:c>
      <x:c r="E368" s="20" t="str">
        <x:v>Part Two — Pictophonetic Simplifications</x:v>
      </x:c>
      <x:c r="F368" s="20" t="str">
        <x:v>⿰生刂</x:v>
      </x:c>
      <x:c r="G368" s="20" t="str">
        <x:v>剩</x:v>
      </x:c>
      <x:c r="H368" s="20" t="str">
        <x:v>擅</x:v>
      </x:c>
      <x:c r="I368" s="20" t="str"/>
      <x:c r="J368" s="20" t="str">
        <x:v>5269 [TGH
1]</x:v>
      </x:c>
      <x:c r="K368" s="20" t="str"/>
      <x:c r="L368" s="20" t="str"/>
      <x:c r="M368" s="20" t="str"/>
      <x:c r="N368" s="20" t="str">
        <x:v>IDS / unencoded in 2022 source — review against Unicode 17 / GEJ</x:v>
      </x:c>
      <x:c r="O368" s="20" t="str">
        <x:v>High</x:v>
      </x:c>
      <x:c r="P368" s="20" t="str">
        <x:v>Structured</x:v>
      </x:c>
      <x:c r="Q368" s="20" t="str">
        <x:v>2.2.065 | ⿰生刂 | 剩 | 擅 | 5269 [TGH / 1] | </x:v>
      </x:c>
      <x:c r="R368" s="20" t="str">
        <x:v>Uploaded: n2924-SecondStageSimplificationStatusv3.pdf</x:v>
      </x:c>
    </x:row>
    <x:row r="369">
      <x:c r="A369" s="20" t="str">
        <x:v>2.2.066</x:v>
      </x:c>
      <x:c r="B369" s="20" t="n">
        <x:v>47</x:v>
      </x:c>
      <x:c r="C369" s="20" t="str">
        <x:v>Part Two</x:v>
      </x:c>
      <x:c r="D369" s="20" t="str">
        <x:v>2.2</x:v>
      </x:c>
      <x:c r="E369" s="20" t="str">
        <x:v>Part Two — Pictophonetic Simplifications</x:v>
      </x:c>
      <x:c r="F369" s="20" t="str">
        <x:v>26B38
[UNUSED]</x:v>
      </x:c>
      <x:c r="G369" s="20" t="str">
        <x:v>薯</x:v>
      </x:c>
      <x:c r="H369" s="20" t="str">
        <x:v>剩
薯蔬</x:v>
      </x:c>
      <x:c r="I369" s="20" t="str"/>
      <x:c r="J369" s="20" t="str">
        <x:v>85AF [TGH
1]
852C [TGH
1]</x:v>
      </x:c>
      <x:c r="K369" s="20" t="str"/>
      <x:c r="L369" s="20" t="str">
        <x:v>U+26B38</x:v>
      </x:c>
      <x:c r="M369" s="20" t="str">
        <x:v>CJK Unified Ideographs Extension B</x:v>
      </x:c>
      <x:c r="N369" s="20" t="str">
        <x:v>Unicode code point recorded</x:v>
      </x:c>
      <x:c r="O369" s="20" t="str">
        <x:v>Low</x:v>
      </x:c>
      <x:c r="P369" s="20" t="str">
        <x:v>Structured</x:v>
      </x:c>
      <x:c r="Q369" s="20" t="str">
        <x:v>2.2.066 | 26B38 / [UNUSED] | 薯 | 剩 / 薯蔬 | 85AF [TGH / 1] / 852C [TGH / 1] | </x:v>
      </x:c>
      <x:c r="R369" s="20" t="str">
        <x:v>Uploaded: n2924-SecondStageSimplificationStatusv3.pdf</x:v>
      </x:c>
    </x:row>
    <x:row r="370">
      <x:c r="A370" s="20" t="str">
        <x:v>2.2.067</x:v>
      </x:c>
      <x:c r="B370" s="20" t="n">
        <x:v>47</x:v>
      </x:c>
      <x:c r="C370" s="20" t="str">
        <x:v>Part Two</x:v>
      </x:c>
      <x:c r="D370" s="20" t="str">
        <x:v>2.2</x:v>
      </x:c>
      <x:c r="E370" s="20" t="str">
        <x:v>Part Two — Pictophonetic Simplifications</x:v>
      </x:c>
      <x:c r="F370" s="20" t="str">
        <x:v>⿱雨双</x:v>
      </x:c>
      <x:c r="G370" s="20" t="str">
        <x:v>霜</x:v>
      </x:c>
      <x:c r="H370" s="20" t="str">
        <x:v>霜</x:v>
      </x:c>
      <x:c r="I370" s="20" t="str"/>
      <x:c r="J370" s="20" t="str">
        <x:v>971C [TGH
1]</x:v>
      </x:c>
      <x:c r="K370" s="20" t="str">
        <x:v>This is ⿱雨
双
submitted
to 2.8.015</x:v>
      </x:c>
      <x:c r="L370" s="20" t="str"/>
      <x:c r="M370" s="20" t="str"/>
      <x:c r="N370" s="20" t="str">
        <x:v>IDS / unencoded in 2022 source — review against Unicode 17 / GEJ</x:v>
      </x:c>
      <x:c r="O370" s="20" t="str">
        <x:v>High</x:v>
      </x:c>
      <x:c r="P370" s="20" t="str">
        <x:v>Structured</x:v>
      </x:c>
      <x:c r="Q370" s="20" t="str">
        <x:v>2.2.067 | ⿱雨双 | 霜 | 霜 | 971C [TGH / 1] | This is ⿱雨 / 双 / submitted / to 2.8.015</x:v>
      </x:c>
      <x:c r="R370" s="20" t="str">
        <x:v>Uploaded: n2924-SecondStageSimplificationStatusv3.pdf</x:v>
      </x:c>
    </x:row>
    <x:row r="371">
      <x:c r="A371" s="20" t="str">
        <x:v>2.2.068</x:v>
      </x:c>
      <x:c r="B371" s="20" t="n">
        <x:v>48</x:v>
      </x:c>
      <x:c r="C371" s="20" t="str">
        <x:v>Part Two</x:v>
      </x:c>
      <x:c r="D371" s="20" t="str">
        <x:v>2.2</x:v>
      </x:c>
      <x:c r="E371" s="20" t="str">
        <x:v>Part Two — Pictophonetic Simplifications</x:v>
      </x:c>
      <x:c r="F371" s="20" t="str">
        <x:v>⿰长四</x:v>
      </x:c>
      <x:c r="G371" s="20" t="str">
        <x:v>肆</x:v>
      </x:c>
      <x:c r="H371" s="20" t="str"/>
      <x:c r="I371" s="20" t="str"/>
      <x:c r="J371" s="20" t="str">
        <x:v>8086 [TGH
1]</x:v>
      </x:c>
      <x:c r="K371" s="20" t="str"/>
      <x:c r="L371" s="20" t="str"/>
      <x:c r="M371" s="20" t="str"/>
      <x:c r="N371" s="20" t="str">
        <x:v>IDS / unencoded in 2022 source — review against Unicode 17 / GEJ</x:v>
      </x:c>
      <x:c r="O371" s="20" t="str">
        <x:v>High</x:v>
      </x:c>
      <x:c r="P371" s="20" t="str">
        <x:v>Structured</x:v>
      </x:c>
      <x:c r="Q371" s="20" t="str">
        <x:v>2.2.068 | ⿰长四 | 肆 |  | 8086 [TGH / 1] | </x:v>
      </x:c>
      <x:c r="R371" s="20" t="str">
        <x:v>Uploaded: n2924-SecondStageSimplificationStatusv3.pdf</x:v>
      </x:c>
    </x:row>
    <x:row r="372">
      <x:c r="A372" s="20" t="str">
        <x:v>2.2.069</x:v>
      </x:c>
      <x:c r="B372" s="20" t="n">
        <x:v>48</x:v>
      </x:c>
      <x:c r="C372" s="20" t="str">
        <x:v>Part Two</x:v>
      </x:c>
      <x:c r="D372" s="20" t="str">
        <x:v>2.2</x:v>
      </x:c>
      <x:c r="E372" s="20" t="str">
        <x:v>Part Two — Pictophonetic Simplifications</x:v>
      </x:c>
      <x:c r="F372" s="20" t="str">
        <x:v>2C728
[UNUSED]</x:v>
      </x:c>
      <x:c r="G372" s="20" t="str">
        <x:v>穗</x:v>
      </x:c>
      <x:c r="H372" s="20" t="str">
        <x:v>肆
𰬸𰬸
24
穗</x:v>
      </x:c>
      <x:c r="I372" s="20" t="str"/>
      <x:c r="J372" s="20" t="str">
        <x:v>7A57 [TGH
1]
30B38
[UNUSED]</x:v>
      </x:c>
      <x:c r="K372" s="20" t="str"/>
      <x:c r="L372" s="20" t="str">
        <x:v>U+2C728</x:v>
      </x:c>
      <x:c r="M372" s="20" t="str">
        <x:v>CJK Unified Ideographs Extension E</x:v>
      </x:c>
      <x:c r="N372" s="20" t="str">
        <x:v>Unicode code point recorded</x:v>
      </x:c>
      <x:c r="O372" s="20" t="str">
        <x:v>Low</x:v>
      </x:c>
      <x:c r="P372" s="20" t="str">
        <x:v>Structured</x:v>
      </x:c>
      <x:c r="Q372" s="20" t="str">
        <x:v>2.2.069 | 2C728 / [UNUSED] | 穗 | 肆 / 𰬸𰬸 / 24 / 穗 | 7A57 [TGH / 1] / 30B38 / [UNUSED] | </x:v>
      </x:c>
      <x:c r="R372" s="20" t="str">
        <x:v>Uploaded: n2924-SecondStageSimplificationStatusv3.pdf</x:v>
      </x:c>
    </x:row>
    <x:row r="373">
      <x:c r="A373" s="20" t="str">
        <x:v>2.2.070</x:v>
      </x:c>
      <x:c r="B373" s="20" t="n">
        <x:v>48</x:v>
      </x:c>
      <x:c r="C373" s="20" t="str">
        <x:v>Part Two</x:v>
      </x:c>
      <x:c r="D373" s="20" t="str">
        <x:v>2.2</x:v>
      </x:c>
      <x:c r="E373" s="20" t="str">
        <x:v>Part Two — Pictophonetic Simplifications</x:v>
      </x:c>
      <x:c r="F373" s="20" t="str">
        <x:v>⿰舟丁</x:v>
      </x:c>
      <x:c r="G373" s="20" t="str">
        <x:v>艇</x:v>
      </x:c>
      <x:c r="H373" s="20" t="str">
        <x:v>艇</x:v>
      </x:c>
      <x:c r="I373" s="20" t="str"/>
      <x:c r="J373" s="20" t="str">
        <x:v>8247 [TGH
1]</x:v>
      </x:c>
      <x:c r="K373" s="20" t="str">
        <x:v>This is 𦨍𦨍
submitted
to 2.8.014</x:v>
      </x:c>
      <x:c r="L373" s="20" t="str"/>
      <x:c r="M373" s="20" t="str"/>
      <x:c r="N373" s="20" t="str">
        <x:v>IDS / unencoded in 2022 source — review against Unicode 17 / GEJ</x:v>
      </x:c>
      <x:c r="O373" s="20" t="str">
        <x:v>High</x:v>
      </x:c>
      <x:c r="P373" s="20" t="str">
        <x:v>Structured</x:v>
      </x:c>
      <x:c r="Q373" s="20" t="str">
        <x:v>2.2.070 | ⿰舟丁 | 艇 | 艇 | 8247 [TGH / 1] | This is 𦨍𦨍 / submitted / to 2.8.014</x:v>
      </x:c>
      <x:c r="R373" s="20" t="str">
        <x:v>Uploaded: n2924-SecondStageSimplificationStatusv3.pdf</x:v>
      </x:c>
    </x:row>
    <x:row r="374">
      <x:c r="A374" s="20" t="str">
        <x:v>2.2.071</x:v>
      </x:c>
      <x:c r="B374" s="20" t="n">
        <x:v>48</x:v>
      </x:c>
      <x:c r="C374" s="20" t="str">
        <x:v>Part Two</x:v>
      </x:c>
      <x:c r="D374" s="20" t="str">
        <x:v>2.2</x:v>
      </x:c>
      <x:c r="E374" s="20" t="str">
        <x:v>Part Two — Pictophonetic Simplifications</x:v>
      </x:c>
      <x:c r="F374" s="20" t="str">
        <x:v>⿸尸屯</x:v>
      </x:c>
      <x:c r="G374" s="20" t="str">
        <x:v>臀</x:v>
      </x:c>
      <x:c r="H374" s="20" t="str"/>
      <x:c r="I374" s="20" t="str"/>
      <x:c r="J374" s="20" t="str">
        <x:v>81C0 [TGH
1]</x:v>
      </x:c>
      <x:c r="K374" s="20" t="str"/>
      <x:c r="L374" s="20" t="str"/>
      <x:c r="M374" s="20" t="str"/>
      <x:c r="N374" s="20" t="str">
        <x:v>IDS / unencoded in 2022 source — review against Unicode 17 / GEJ</x:v>
      </x:c>
      <x:c r="O374" s="20" t="str">
        <x:v>High</x:v>
      </x:c>
      <x:c r="P374" s="20" t="str">
        <x:v>Structured</x:v>
      </x:c>
      <x:c r="Q374" s="20" t="str">
        <x:v>2.2.071 | ⿸尸屯 | 臀 |  | 81C0 [TGH / 1] | </x:v>
      </x:c>
      <x:c r="R374" s="20" t="str">
        <x:v>Uploaded: n2924-SecondStageSimplificationStatusv3.pdf</x:v>
      </x:c>
    </x:row>
    <x:row r="375">
      <x:c r="A375" s="20" t="str">
        <x:v>2.2.072</x:v>
      </x:c>
      <x:c r="B375" s="20" t="n">
        <x:v>48</x:v>
      </x:c>
      <x:c r="C375" s="20" t="str">
        <x:v>Part Two</x:v>
      </x:c>
      <x:c r="D375" s="20" t="str">
        <x:v>2.2</x:v>
      </x:c>
      <x:c r="E375" s="20" t="str">
        <x:v>Part Two — Pictophonetic Simplifications</x:v>
      </x:c>
      <x:c r="F375" s="20" t="str">
        <x:v>24D52
[UNUSED]</x:v>
      </x:c>
      <x:c r="G375" s="20" t="str">
        <x:v>瘟</x:v>
      </x:c>
      <x:c r="H375" s="20" t="str">
        <x:v>臀</x:v>
      </x:c>
      <x:c r="I375" s="20" t="str"/>
      <x:c r="J375" s="20" t="str">
        <x:v>761F [TGH
1]</x:v>
      </x:c>
      <x:c r="K375" s="20" t="str"/>
      <x:c r="L375" s="20" t="str">
        <x:v>U+24D52</x:v>
      </x:c>
      <x:c r="M375" s="20" t="str">
        <x:v>CJK Unified Ideographs Extension B</x:v>
      </x:c>
      <x:c r="N375" s="20" t="str">
        <x:v>Unicode code point recorded</x:v>
      </x:c>
      <x:c r="O375" s="20" t="str">
        <x:v>Low</x:v>
      </x:c>
      <x:c r="P375" s="20" t="str">
        <x:v>Structured</x:v>
      </x:c>
      <x:c r="Q375" s="20" t="str">
        <x:v>2.2.072 | 24D52 / [UNUSED] | 瘟 | 臀 | 761F [TGH / 1] | </x:v>
      </x:c>
      <x:c r="R375" s="20" t="str">
        <x:v>Uploaded: n2924-SecondStageSimplificationStatusv3.pdf</x:v>
      </x:c>
    </x:row>
    <x:row r="376">
      <x:c r="A376" s="20" t="str">
        <x:v>2.2.073</x:v>
      </x:c>
      <x:c r="B376" s="20" t="n">
        <x:v>48</x:v>
      </x:c>
      <x:c r="C376" s="20" t="str">
        <x:v>Part Two</x:v>
      </x:c>
      <x:c r="D376" s="20" t="str">
        <x:v>2.2</x:v>
      </x:c>
      <x:c r="E376" s="20" t="str">
        <x:v>Part Two — Pictophonetic Simplifications</x:v>
      </x:c>
      <x:c r="F376" s="20" t="str">
        <x:v>⿰肉夕</x:v>
      </x:c>
      <x:c r="G376" s="20" t="str">
        <x:v>膝</x:v>
      </x:c>
      <x:c r="H376" s="20" t="str">
        <x:v>瘟</x:v>
      </x:c>
      <x:c r="I376" s="20" t="str"/>
      <x:c r="J376" s="20" t="str">
        <x:v>819D [TGH
1]</x:v>
      </x:c>
      <x:c r="K376" s="20" t="str"/>
      <x:c r="L376" s="20" t="str"/>
      <x:c r="M376" s="20" t="str"/>
      <x:c r="N376" s="20" t="str">
        <x:v>IDS / unencoded in 2022 source — review against Unicode 17 / GEJ</x:v>
      </x:c>
      <x:c r="O376" s="20" t="str">
        <x:v>High</x:v>
      </x:c>
      <x:c r="P376" s="20" t="str">
        <x:v>Structured</x:v>
      </x:c>
      <x:c r="Q376" s="20" t="str">
        <x:v>2.2.073 | ⿰肉夕 | 膝 | 瘟 | 819D [TGH / 1] | </x:v>
      </x:c>
      <x:c r="R376" s="20" t="str">
        <x:v>Uploaded: n2924-SecondStageSimplificationStatusv3.pdf</x:v>
      </x:c>
    </x:row>
    <x:row r="377">
      <x:c r="A377" s="20" t="str">
        <x:v>2.2.074</x:v>
      </x:c>
      <x:c r="B377" s="20" t="n">
        <x:v>48</x:v>
      </x:c>
      <x:c r="C377" s="20" t="str">
        <x:v>Part Two</x:v>
      </x:c>
      <x:c r="D377" s="20" t="str">
        <x:v>2.2</x:v>
      </x:c>
      <x:c r="E377" s="20" t="str">
        <x:v>Part Two — Pictophonetic Simplifications</x:v>
      </x:c>
      <x:c r="F377" s="20" t="str">
        <x:v>⿰阝夕</x:v>
      </x:c>
      <x:c r="G377" s="20" t="str">
        <x:v>隙</x:v>
      </x:c>
      <x:c r="H377" s="20" t="str">
        <x:v>膝</x:v>
      </x:c>
      <x:c r="I377" s="20" t="str"/>
      <x:c r="J377" s="20" t="str">
        <x:v>9699 [TGH
1]</x:v>
      </x:c>
      <x:c r="K377" s="20" t="str"/>
      <x:c r="L377" s="20" t="str"/>
      <x:c r="M377" s="20" t="str"/>
      <x:c r="N377" s="20" t="str">
        <x:v>IDS / unencoded in 2022 source — review against Unicode 17 / GEJ</x:v>
      </x:c>
      <x:c r="O377" s="20" t="str">
        <x:v>High</x:v>
      </x:c>
      <x:c r="P377" s="20" t="str">
        <x:v>Structured</x:v>
      </x:c>
      <x:c r="Q377" s="20" t="str">
        <x:v>2.2.074 | ⿰阝夕 | 隙 | 膝 | 9699 [TGH / 1] | </x:v>
      </x:c>
      <x:c r="R377" s="20" t="str">
        <x:v>Uploaded: n2924-SecondStageSimplificationStatusv3.pdf</x:v>
      </x:c>
    </x:row>
    <x:row r="378">
      <x:c r="A378" s="20" t="str">
        <x:v>2.2.075</x:v>
      </x:c>
      <x:c r="B378" s="20" t="n">
        <x:v>48</x:v>
      </x:c>
      <x:c r="C378" s="20" t="str">
        <x:v>Part Two</x:v>
      </x:c>
      <x:c r="D378" s="20" t="str">
        <x:v>2.2</x:v>
      </x:c>
      <x:c r="E378" s="20" t="str">
        <x:v>Part Two — Pictophonetic Simplifications</x:v>
      </x:c>
      <x:c r="F378" s="20" t="str">
        <x:v>⿰车下</x:v>
      </x:c>
      <x:c r="G378" s="20" t="str">
        <x:v>辖</x:v>
      </x:c>
      <x:c r="H378" s="20" t="str">
        <x:v>隙</x:v>
      </x:c>
      <x:c r="I378" s="20" t="str"/>
      <x:c r="J378" s="20" t="str">
        <x:v>8F96 [TGH
1]</x:v>
      </x:c>
      <x:c r="K378" s="20" t="str"/>
      <x:c r="L378" s="20" t="str"/>
      <x:c r="M378" s="20" t="str"/>
      <x:c r="N378" s="20" t="str">
        <x:v>IDS / unencoded in 2022 source — review against Unicode 17 / GEJ</x:v>
      </x:c>
      <x:c r="O378" s="20" t="str">
        <x:v>High</x:v>
      </x:c>
      <x:c r="P378" s="20" t="str">
        <x:v>Structured</x:v>
      </x:c>
      <x:c r="Q378" s="20" t="str">
        <x:v>2.2.075 | ⿰车下 | 辖 | 隙 | 8F96 [TGH / 1] | </x:v>
      </x:c>
      <x:c r="R378" s="20" t="str">
        <x:v>Uploaded: n2924-SecondStageSimplificationStatusv3.pdf</x:v>
      </x:c>
    </x:row>
    <x:row r="379">
      <x:c r="A379" s="20" t="str">
        <x:v>2.2.076</x:v>
      </x:c>
      <x:c r="B379" s="20" t="n">
        <x:v>48</x:v>
      </x:c>
      <x:c r="C379" s="20" t="str">
        <x:v>Part Two</x:v>
      </x:c>
      <x:c r="D379" s="20" t="str">
        <x:v>2.2</x:v>
      </x:c>
      <x:c r="E379" s="20" t="str">
        <x:v>Part Two — Pictophonetic Simplifications</x:v>
      </x:c>
      <x:c r="F379" s="20" t="str">
        <x:v>⿰日下</x:v>
      </x:c>
      <x:c r="G379" s="20" t="str">
        <x:v>暇</x:v>
      </x:c>
      <x:c r="H379" s="20" t="str">
        <x:v>辖</x:v>
      </x:c>
      <x:c r="I379" s="20" t="str"/>
      <x:c r="J379" s="20" t="str">
        <x:v>6687 [TGH
1]</x:v>
      </x:c>
      <x:c r="K379" s="20" t="str"/>
      <x:c r="L379" s="20" t="str"/>
      <x:c r="M379" s="20" t="str"/>
      <x:c r="N379" s="20" t="str">
        <x:v>IDS / unencoded in 2022 source — review against Unicode 17 / GEJ</x:v>
      </x:c>
      <x:c r="O379" s="20" t="str">
        <x:v>High</x:v>
      </x:c>
      <x:c r="P379" s="20" t="str">
        <x:v>Structured</x:v>
      </x:c>
      <x:c r="Q379" s="20" t="str">
        <x:v>2.2.076 | ⿰日下 | 暇 | 辖 | 6687 [TGH / 1] | </x:v>
      </x:c>
      <x:c r="R379" s="20" t="str">
        <x:v>Uploaded: n2924-SecondStageSimplificationStatusv3.pdf</x:v>
      </x:c>
    </x:row>
    <x:row r="380">
      <x:c r="A380" s="20" t="str">
        <x:v>2.2.077</x:v>
      </x:c>
      <x:c r="B380" s="20" t="n">
        <x:v>48</x:v>
      </x:c>
      <x:c r="C380" s="20" t="str">
        <x:v>Part Two</x:v>
      </x:c>
      <x:c r="D380" s="20" t="str">
        <x:v>2.2</x:v>
      </x:c>
      <x:c r="E380" s="20" t="str">
        <x:v>Part Two — Pictophonetic Simplifications</x:v>
      </x:c>
      <x:c r="F380" s="20" t="str">
        <x:v>⿱雨下</x:v>
      </x:c>
      <x:c r="G380" s="20" t="str">
        <x:v>霞</x:v>
      </x:c>
      <x:c r="H380" s="20" t="str">
        <x:v>暇
霞</x:v>
      </x:c>
      <x:c r="I380" s="20" t="str"/>
      <x:c r="J380" s="20" t="str">
        <x:v>971E [TGH
1]</x:v>
      </x:c>
      <x:c r="K380" s="20" t="str">
        <x:v>This is 雫
submitted
to 2.8.015</x:v>
      </x:c>
      <x:c r="L380" s="20" t="str"/>
      <x:c r="M380" s="20" t="str"/>
      <x:c r="N380" s="20" t="str">
        <x:v>IDS / unencoded in 2022 source — review against Unicode 17 / GEJ</x:v>
      </x:c>
      <x:c r="O380" s="20" t="str">
        <x:v>High</x:v>
      </x:c>
      <x:c r="P380" s="20" t="str">
        <x:v>Structured</x:v>
      </x:c>
      <x:c r="Q380" s="20" t="str">
        <x:v>2.2.077 | ⿱雨下 | 霞 | 暇 / 霞 | 971E [TGH / 1] | This is 雫 / submitted / to 2.8.015</x:v>
      </x:c>
      <x:c r="R380" s="20" t="str">
        <x:v>Uploaded: n2924-SecondStageSimplificationStatusv3.pdf</x:v>
      </x:c>
    </x:row>
    <x:row r="381">
      <x:c r="A381" s="20" t="str">
        <x:v>2.2.078</x:v>
      </x:c>
      <x:c r="B381" s="20" t="n">
        <x:v>48</x:v>
      </x:c>
      <x:c r="C381" s="20" t="str">
        <x:v>Part Two</x:v>
      </x:c>
      <x:c r="D381" s="20" t="str">
        <x:v>2.2</x:v>
      </x:c>
      <x:c r="E381" s="20" t="str">
        <x:v>Part Two — Pictophonetic Simplifications</x:v>
      </x:c>
      <x:c r="F381" s="20" t="str">
        <x:v>⿸厂下</x:v>
      </x:c>
      <x:c r="G381" s="20" t="str">
        <x:v>厦</x:v>
      </x:c>
      <x:c r="H381" s="20" t="str"/>
      <x:c r="I381" s="20" t="str"/>
      <x:c r="J381" s="20" t="str">
        <x:v>53A6 [TGH
1]</x:v>
      </x:c>
      <x:c r="K381" s="20" t="str"/>
      <x:c r="L381" s="20" t="str"/>
      <x:c r="M381" s="20" t="str"/>
      <x:c r="N381" s="20" t="str">
        <x:v>IDS / unencoded in 2022 source — review against Unicode 17 / GEJ</x:v>
      </x:c>
      <x:c r="O381" s="20" t="str">
        <x:v>High</x:v>
      </x:c>
      <x:c r="P381" s="20" t="str">
        <x:v>Structured</x:v>
      </x:c>
      <x:c r="Q381" s="20" t="str">
        <x:v>2.2.078 | ⿸厂下 | 厦 |  | 53A6 [TGH / 1] | </x:v>
      </x:c>
      <x:c r="R381" s="20" t="str">
        <x:v>Uploaded: n2924-SecondStageSimplificationStatusv3.pdf</x:v>
      </x:c>
    </x:row>
    <x:row r="382">
      <x:c r="A382" s="20" t="str">
        <x:v>2.2.079</x:v>
      </x:c>
      <x:c r="B382" s="20" t="n">
        <x:v>48</x:v>
      </x:c>
      <x:c r="C382" s="20" t="str">
        <x:v>Part Two</x:v>
      </x:c>
      <x:c r="D382" s="20" t="str">
        <x:v>2.2</x:v>
      </x:c>
      <x:c r="E382" s="20" t="str">
        <x:v>Part Two — Pictophonetic Simplifications</x:v>
      </x:c>
      <x:c r="F382" s="20" t="str">
        <x:v>39E5
[UNUSED H]</x:v>
      </x:c>
      <x:c r="G382" s="20" t="str"/>
      <x:c r="H382" s="20" t="str">
        <x:v>厦</x:v>
      </x:c>
      <x:c r="I382" s="20" t="str"/>
      <x:c r="J382" s="20" t="str">
        <x:v>6380 [TGH
1]</x:v>
      </x:c>
      <x:c r="K382" s="20" t="str"/>
      <x:c r="L382" s="20" t="str">
        <x:v>U+39E5</x:v>
      </x:c>
      <x:c r="M382" s="20" t="str">
        <x:v>CJK Unified Ideographs Extension A</x:v>
      </x:c>
      <x:c r="N382" s="20" t="str">
        <x:v>Unicode code point recorded</x:v>
      </x:c>
      <x:c r="O382" s="20" t="str">
        <x:v>Low</x:v>
      </x:c>
      <x:c r="P382" s="20" t="str">
        <x:v>Structured</x:v>
      </x:c>
      <x:c r="Q382" s="20" t="str">
        <x:v>2.2.079 | 39E5 / [UNUSED H] |  | 厦 | 6380 [TGH / 1] | </x:v>
      </x:c>
      <x:c r="R382" s="20" t="str">
        <x:v>Uploaded: n2924-SecondStageSimplificationStatusv3.pdf</x:v>
      </x:c>
    </x:row>
    <x:row r="383">
      <x:c r="A383" s="20" t="str">
        <x:v>2.2.080</x:v>
      </x:c>
      <x:c r="B383" s="20" t="n">
        <x:v>49</x:v>
      </x:c>
      <x:c r="C383" s="20" t="str">
        <x:v>Part Two</x:v>
      </x:c>
      <x:c r="D383" s="20" t="str">
        <x:v>2.2</x:v>
      </x:c>
      <x:c r="E383" s="20" t="str">
        <x:v>Part Two — Pictophonetic Simplifications</x:v>
      </x:c>
      <x:c r="F383" s="20" t="str">
        <x:v>3B60
[UNUSED H]</x:v>
      </x:c>
      <x:c r="G383" s="20" t="str">
        <x:v>㭠</x:v>
      </x:c>
      <x:c r="H383" s="20" t="str">
        <x:v>𣔙𣔙锨</x:v>
      </x:c>
      <x:c r="I383" s="20" t="str"/>
      <x:c r="J383" s="20" t="str">
        <x:v>2351925
[UNUSED H]
9528 [TGH
2]</x:v>
      </x:c>
      <x:c r="K383" s="20" t="str"/>
      <x:c r="L383" s="20" t="str">
        <x:v>U+3B60</x:v>
      </x:c>
      <x:c r="M383" s="20" t="str">
        <x:v>CJK Unified Ideographs Extension A</x:v>
      </x:c>
      <x:c r="N383" s="20" t="str">
        <x:v>Unicode code point recorded</x:v>
      </x:c>
      <x:c r="O383" s="20" t="str">
        <x:v>Low</x:v>
      </x:c>
      <x:c r="P383" s="20" t="str">
        <x:v>Structured</x:v>
      </x:c>
      <x:c r="Q383" s="20" t="str">
        <x:v>2.2.080 | 3B60 / [UNUSED H] | 㭠 | 𣔙𣔙锨 | 2351925 / [UNUSED H] / 9528 [TGH / 2] | </x:v>
      </x:c>
      <x:c r="R383" s="20" t="str">
        <x:v>Uploaded: n2924-SecondStageSimplificationStatusv3.pdf</x:v>
      </x:c>
    </x:row>
    <x:row r="384">
      <x:c r="A384" s="20" t="str">
        <x:v>2.2.081</x:v>
      </x:c>
      <x:c r="B384" s="20" t="n">
        <x:v>49</x:v>
      </x:c>
      <x:c r="C384" s="20" t="str">
        <x:v>Part Two</x:v>
      </x:c>
      <x:c r="D384" s="20" t="str">
        <x:v>2.2</x:v>
      </x:c>
      <x:c r="E384" s="20" t="str">
        <x:v>Part Two — Pictophonetic Simplifications</x:v>
      </x:c>
      <x:c r="F384" s="20" t="str">
        <x:v>2265D
[UNUSED]</x:v>
      </x:c>
      <x:c r="G384" s="20" t="str">
        <x:v>嫌</x:v>
      </x:c>
      <x:c r="H384" s="20" t="str"/>
      <x:c r="I384" s="20" t="str"/>
      <x:c r="J384" s="20" t="str">
        <x:v>5ACC [TGH
1]</x:v>
      </x:c>
      <x:c r="K384" s="20" t="str"/>
      <x:c r="L384" s="20" t="str">
        <x:v>U+2265D</x:v>
      </x:c>
      <x:c r="M384" s="20" t="str">
        <x:v>CJK Unified Ideographs Extension B</x:v>
      </x:c>
      <x:c r="N384" s="20" t="str">
        <x:v>Unicode code point recorded</x:v>
      </x:c>
      <x:c r="O384" s="20" t="str">
        <x:v>Low</x:v>
      </x:c>
      <x:c r="P384" s="20" t="str">
        <x:v>Structured</x:v>
      </x:c>
      <x:c r="Q384" s="20" t="str">
        <x:v>2.2.081 | 2265D / [UNUSED] | 嫌 |  | 5ACC [TGH / 1] | </x:v>
      </x:c>
      <x:c r="R384" s="20" t="str">
        <x:v>Uploaded: n2924-SecondStageSimplificationStatusv3.pdf</x:v>
      </x:c>
    </x:row>
    <x:row r="385">
      <x:c r="A385" s="20" t="str">
        <x:v>2.2.082</x:v>
      </x:c>
      <x:c r="B385" s="20" t="n">
        <x:v>49</x:v>
      </x:c>
      <x:c r="C385" s="20" t="str">
        <x:v>Part Two</x:v>
      </x:c>
      <x:c r="D385" s="20" t="str">
        <x:v>2.2</x:v>
      </x:c>
      <x:c r="E385" s="20" t="str">
        <x:v>Part Two — Pictophonetic Simplifications</x:v>
      </x:c>
      <x:c r="F385" s="20" t="str">
        <x:v>⿰亻向</x:v>
      </x:c>
      <x:c r="G385" s="20" t="str">
        <x:v>像</x:v>
      </x:c>
      <x:c r="H385" s="20" t="str">
        <x:v>嫌</x:v>
      </x:c>
      <x:c r="I385" s="20" t="str"/>
      <x:c r="J385" s="20" t="str">
        <x:v>50CF [TGH
1]</x:v>
      </x:c>
      <x:c r="K385" s="20" t="str"/>
      <x:c r="L385" s="20" t="str"/>
      <x:c r="M385" s="20" t="str"/>
      <x:c r="N385" s="20" t="str">
        <x:v>IDS / unencoded in 2022 source — review against Unicode 17 / GEJ</x:v>
      </x:c>
      <x:c r="O385" s="20" t="str">
        <x:v>High</x:v>
      </x:c>
      <x:c r="P385" s="20" t="str">
        <x:v>Structured</x:v>
      </x:c>
      <x:c r="Q385" s="20" t="str">
        <x:v>2.2.082 | ⿰亻向 | 像 | 嫌 | 50CF [TGH / 1] | </x:v>
      </x:c>
      <x:c r="R385" s="20" t="str">
        <x:v>Uploaded: n2924-SecondStageSimplificationStatusv3.pdf</x:v>
      </x:c>
    </x:row>
    <x:row r="386">
      <x:c r="A386" s="20" t="str">
        <x:v>2.2.083</x:v>
      </x:c>
      <x:c r="B386" s="20" t="n">
        <x:v>49</x:v>
      </x:c>
      <x:c r="C386" s="20" t="str">
        <x:v>Part Two</x:v>
      </x:c>
      <x:c r="D386" s="20" t="str">
        <x:v>2.2</x:v>
      </x:c>
      <x:c r="E386" s="20" t="str">
        <x:v>Part Two — Pictophonetic Simplifications</x:v>
      </x:c>
      <x:c r="F386" s="20" t="str">
        <x:v>⿰扌办</x:v>
      </x:c>
      <x:c r="G386" s="20" t="str">
        <x:v>携</x:v>
      </x:c>
      <x:c r="H386" s="20" t="str">
        <x:v>像</x:v>
      </x:c>
      <x:c r="I386" s="20" t="str"/>
      <x:c r="J386" s="20" t="str">
        <x:v>643A [TGH
1]</x:v>
      </x:c>
      <x:c r="K386" s="20" t="str"/>
      <x:c r="L386" s="20" t="str"/>
      <x:c r="M386" s="20" t="str"/>
      <x:c r="N386" s="20" t="str">
        <x:v>IDS / unencoded in 2022 source — review against Unicode 17 / GEJ</x:v>
      </x:c>
      <x:c r="O386" s="20" t="str">
        <x:v>High</x:v>
      </x:c>
      <x:c r="P386" s="20" t="str">
        <x:v>Structured</x:v>
      </x:c>
      <x:c r="Q386" s="20" t="str">
        <x:v>2.2.083 | ⿰扌办 | 携 | 像 | 643A [TGH / 1] | </x:v>
      </x:c>
      <x:c r="R386" s="20" t="str">
        <x:v>Uploaded: n2924-SecondStageSimplificationStatusv3.pdf</x:v>
      </x:c>
    </x:row>
    <x:row r="387">
      <x:c r="A387" s="20" t="str">
        <x:v>2.2.084</x:v>
      </x:c>
      <x:c r="B387" s="20" t="n">
        <x:v>49</x:v>
      </x:c>
      <x:c r="C387" s="20" t="str">
        <x:v>Part Two</x:v>
      </x:c>
      <x:c r="D387" s="20" t="str">
        <x:v>2.2</x:v>
      </x:c>
      <x:c r="E387" s="20" t="str">
        <x:v>Part Two — Pictophonetic Simplifications</x:v>
      </x:c>
      <x:c r="F387" s="20" t="str">
        <x:v>2A8C8
[UNUSED]</x:v>
      </x:c>
      <x:c r="G387" s="20" t="str">
        <x:v>𪣈𪣈堰</x:v>
      </x:c>
      <x:c r="H387" s="20" t="str">
        <x:v>携</x:v>
      </x:c>
      <x:c r="I387" s="20" t="str"/>
      <x:c r="J387" s="20" t="str">
        <x:v>5830 [TGH
1]</x:v>
      </x:c>
      <x:c r="K387" s="20" t="str"/>
      <x:c r="L387" s="20" t="str">
        <x:v>U+2A8C8</x:v>
      </x:c>
      <x:c r="M387" s="20" t="str">
        <x:v>CJK Unified Ideographs Extension C</x:v>
      </x:c>
      <x:c r="N387" s="20" t="str">
        <x:v>Unicode code point recorded</x:v>
      </x:c>
      <x:c r="O387" s="20" t="str">
        <x:v>Low</x:v>
      </x:c>
      <x:c r="P387" s="20" t="str">
        <x:v>Structured</x:v>
      </x:c>
      <x:c r="Q387" s="20" t="str">
        <x:v>2.2.084 | 2A8C8 / [UNUSED] | 𪣈𪣈堰 | 携 | 5830 [TGH / 1] | </x:v>
      </x:c>
      <x:c r="R387" s="20" t="str">
        <x:v>Uploaded: n2924-SecondStageSimplificationStatusv3.pdf</x:v>
      </x:c>
    </x:row>
    <x:row r="388">
      <x:c r="A388" s="20" t="str">
        <x:v>2.2.085</x:v>
      </x:c>
      <x:c r="B388" s="20" t="n">
        <x:v>49</x:v>
      </x:c>
      <x:c r="C388" s="20" t="str">
        <x:v>Part Two</x:v>
      </x:c>
      <x:c r="D388" s="20" t="str">
        <x:v>2.2</x:v>
      </x:c>
      <x:c r="E388" s="20" t="str">
        <x:v>Part Two — Pictophonetic Simplifications</x:v>
      </x:c>
      <x:c r="F388" s="20" t="str">
        <x:v>6277
[UNUSED
HMT]</x:v>
      </x:c>
      <x:c r="G388" s="20" t="str">
        <x:v>扷</x:v>
      </x:c>
      <x:c r="H388" s="20" t="str">
        <x:v>堰
摇</x:v>
      </x:c>
      <x:c r="I388" s="20" t="str"/>
      <x:c r="J388" s="20" t="str">
        <x:v>6447 [TGH
1]</x:v>
      </x:c>
      <x:c r="K388" s="20" t="str"/>
      <x:c r="L388" s="20" t="str">
        <x:v>U+6277</x:v>
      </x:c>
      <x:c r="M388" s="20" t="str">
        <x:v>CJK Unified Ideographs</x:v>
      </x:c>
      <x:c r="N388" s="20" t="str">
        <x:v>Unicode code point recorded</x:v>
      </x:c>
      <x:c r="O388" s="20" t="str">
        <x:v>Low</x:v>
      </x:c>
      <x:c r="P388" s="20" t="str">
        <x:v>Structured</x:v>
      </x:c>
      <x:c r="Q388" s="20" t="str">
        <x:v>2.2.085 | 6277 / [UNUSED / HMT] | 扷 | 堰 / 摇 | 6447 [TGH / 1] | </x:v>
      </x:c>
      <x:c r="R388" s="20" t="str">
        <x:v>Uploaded: n2924-SecondStageSimplificationStatusv3.pdf</x:v>
      </x:c>
    </x:row>
    <x:row r="389">
      <x:c r="A389" s="20" t="str">
        <x:v>2.2.086</x:v>
      </x:c>
      <x:c r="B389" s="20" t="n">
        <x:v>49</x:v>
      </x:c>
      <x:c r="C389" s="20" t="str">
        <x:v>Part Two</x:v>
      </x:c>
      <x:c r="D389" s="20" t="str">
        <x:v>2.2</x:v>
      </x:c>
      <x:c r="E389" s="20" t="str">
        <x:v>Part Two — Pictophonetic Simplifications</x:v>
      </x:c>
      <x:c r="F389" s="20" t="str">
        <x:v>2B35A
[UNUSED]</x:v>
      </x:c>
      <x:c r="G389" s="20" t="str">
        <x:v>谣</x:v>
      </x:c>
      <x:c r="H389" s="20" t="str"/>
      <x:c r="I389" s="20" t="str"/>
      <x:c r="J389" s="20" t="str">
        <x:v>8C23 [TGH
1]</x:v>
      </x:c>
      <x:c r="K389" s="20" t="str"/>
      <x:c r="L389" s="20" t="str">
        <x:v>U+2B35A</x:v>
      </x:c>
      <x:c r="M389" s="20" t="str">
        <x:v>CJK Unified Ideographs Extension C</x:v>
      </x:c>
      <x:c r="N389" s="20" t="str">
        <x:v>Unicode code point recorded</x:v>
      </x:c>
      <x:c r="O389" s="20" t="str">
        <x:v>Low</x:v>
      </x:c>
      <x:c r="P389" s="20" t="str">
        <x:v>Structured</x:v>
      </x:c>
      <x:c r="Q389" s="20" t="str">
        <x:v>2.2.086 | 2B35A / [UNUSED] | 谣 |  | 8C23 [TGH / 1] | </x:v>
      </x:c>
      <x:c r="R389" s="20" t="str">
        <x:v>Uploaded: n2924-SecondStageSimplificationStatusv3.pdf</x:v>
      </x:c>
    </x:row>
    <x:row r="390">
      <x:c r="A390" s="20" t="str">
        <x:v>2.2.087</x:v>
      </x:c>
      <x:c r="B390" s="20" t="n">
        <x:v>49</x:v>
      </x:c>
      <x:c r="C390" s="20" t="str">
        <x:v>Part Two</x:v>
      </x:c>
      <x:c r="D390" s="20" t="str">
        <x:v>2.2</x:v>
      </x:c>
      <x:c r="E390" s="20" t="str">
        <x:v>Part Two — Pictophonetic Simplifications</x:v>
      </x:c>
      <x:c r="F390" s="20" t="str">
        <x:v>⿺辶夭</x:v>
      </x:c>
      <x:c r="G390" s="20" t="str">
        <x:v>遥</x:v>
      </x:c>
      <x:c r="H390" s="20" t="str">
        <x:v>谣</x:v>
      </x:c>
      <x:c r="I390" s="20" t="str"/>
      <x:c r="J390" s="20" t="str">
        <x:v>9065 [TGH
1]</x:v>
      </x:c>
      <x:c r="K390" s="20" t="str"/>
      <x:c r="L390" s="20" t="str"/>
      <x:c r="M390" s="20" t="str"/>
      <x:c r="N390" s="20" t="str">
        <x:v>IDS / unencoded in 2022 source — review against Unicode 17 / GEJ</x:v>
      </x:c>
      <x:c r="O390" s="20" t="str">
        <x:v>High</x:v>
      </x:c>
      <x:c r="P390" s="20" t="str">
        <x:v>Structured</x:v>
      </x:c>
      <x:c r="Q390" s="20" t="str">
        <x:v>2.2.087 | ⿺辶夭 | 遥 | 谣 | 9065 [TGH / 1] | </x:v>
      </x:c>
      <x:c r="R390" s="20" t="str">
        <x:v>Uploaded: n2924-SecondStageSimplificationStatusv3.pdf</x:v>
      </x:c>
    </x:row>
    <x:row r="391">
      <x:c r="A391" s="20" t="str">
        <x:v>2.2.088</x:v>
      </x:c>
      <x:c r="B391" s="20" t="n">
        <x:v>49</x:v>
      </x:c>
      <x:c r="C391" s="20" t="str">
        <x:v>Part Two</x:v>
      </x:c>
      <x:c r="D391" s="20" t="str">
        <x:v>2.2</x:v>
      </x:c>
      <x:c r="E391" s="20" t="str">
        <x:v>Part Two — Pictophonetic Simplifications</x:v>
      </x:c>
      <x:c r="F391" s="20" t="str">
        <x:v>⿺辶乙</x:v>
      </x:c>
      <x:c r="G391" s="20" t="str">
        <x:v>遗</x:v>
      </x:c>
      <x:c r="H391" s="20" t="str">
        <x:v>遥</x:v>
      </x:c>
      <x:c r="I391" s="20" t="str"/>
      <x:c r="J391" s="20" t="str">
        <x:v>9057 [TGH
1]</x:v>
      </x:c>
      <x:c r="K391" s="20" t="str"/>
      <x:c r="L391" s="20" t="str"/>
      <x:c r="M391" s="20" t="str"/>
      <x:c r="N391" s="20" t="str">
        <x:v>IDS / unencoded in 2022 source — review against Unicode 17 / GEJ</x:v>
      </x:c>
      <x:c r="O391" s="20" t="str">
        <x:v>High</x:v>
      </x:c>
      <x:c r="P391" s="20" t="str">
        <x:v>Structured</x:v>
      </x:c>
      <x:c r="Q391" s="20" t="str">
        <x:v>2.2.088 | ⿺辶乙 | 遗 | 遥 | 9057 [TGH / 1] | </x:v>
      </x:c>
      <x:c r="R391" s="20" t="str">
        <x:v>Uploaded: n2924-SecondStageSimplificationStatusv3.pdf</x:v>
      </x:c>
    </x:row>
    <x:row r="392">
      <x:c r="A392" s="20" t="str">
        <x:v>2.2.089</x:v>
      </x:c>
      <x:c r="B392" s="20" t="n">
        <x:v>49</x:v>
      </x:c>
      <x:c r="C392" s="20" t="str">
        <x:v>Part Two</x:v>
      </x:c>
      <x:c r="D392" s="20" t="str">
        <x:v>2.2</x:v>
      </x:c>
      <x:c r="E392" s="20" t="str">
        <x:v>Part Two — Pictophonetic Simplifications</x:v>
      </x:c>
      <x:c r="F392" s="20" t="str">
        <x:v>2BC06
[UNUSED]</x:v>
      </x:c>
      <x:c r="G392" s="20" t="str">
        <x:v>姨</x:v>
      </x:c>
      <x:c r="H392" s="20" t="str">
        <x:v>遗</x:v>
      </x:c>
      <x:c r="I392" s="20" t="str"/>
      <x:c r="J392" s="20" t="str">
        <x:v>59E8 [TGH
1]</x:v>
      </x:c>
      <x:c r="K392" s="20" t="str"/>
      <x:c r="L392" s="20" t="str">
        <x:v>U+2BC06</x:v>
      </x:c>
      <x:c r="M392" s="20" t="str">
        <x:v>CJK Unified Ideographs Extension E</x:v>
      </x:c>
      <x:c r="N392" s="20" t="str">
        <x:v>Unicode code point recorded</x:v>
      </x:c>
      <x:c r="O392" s="20" t="str">
        <x:v>Low</x:v>
      </x:c>
      <x:c r="P392" s="20" t="str">
        <x:v>Structured</x:v>
      </x:c>
      <x:c r="Q392" s="20" t="str">
        <x:v>2.2.089 | 2BC06 / [UNUSED] | 姨 | 遗 | 59E8 [TGH / 1] | </x:v>
      </x:c>
      <x:c r="R392" s="20" t="str">
        <x:v>Uploaded: n2924-SecondStageSimplificationStatusv3.pdf</x:v>
      </x:c>
    </x:row>
    <x:row r="393">
      <x:c r="A393" s="20" t="str">
        <x:v>2.2.090</x:v>
      </x:c>
      <x:c r="B393" s="20" t="n">
        <x:v>49</x:v>
      </x:c>
      <x:c r="C393" s="20" t="str">
        <x:v>Part Two</x:v>
      </x:c>
      <x:c r="D393" s="20" t="str">
        <x:v>2.2</x:v>
      </x:c>
      <x:c r="E393" s="20" t="str">
        <x:v>Part Two — Pictophonetic Simplifications</x:v>
      </x:c>
      <x:c r="F393" s="20" t="str">
        <x:v>233B7
[UNUSED]</x:v>
      </x:c>
      <x:c r="G393" s="20" t="str">
        <x:v>椅</x:v>
      </x:c>
      <x:c r="H393" s="20" t="str">
        <x:v>姨</x:v>
      </x:c>
      <x:c r="I393" s="20" t="str"/>
      <x:c r="J393" s="20" t="str">
        <x:v>6905 [TGH
1]</x:v>
      </x:c>
      <x:c r="K393" s="20" t="str"/>
      <x:c r="L393" s="20" t="str">
        <x:v>U+233B7</x:v>
      </x:c>
      <x:c r="M393" s="20" t="str">
        <x:v>CJK Unified Ideographs Extension B</x:v>
      </x:c>
      <x:c r="N393" s="20" t="str">
        <x:v>Unicode code point recorded</x:v>
      </x:c>
      <x:c r="O393" s="20" t="str">
        <x:v>Low</x:v>
      </x:c>
      <x:c r="P393" s="20" t="str">
        <x:v>Structured</x:v>
      </x:c>
      <x:c r="Q393" s="20" t="str">
        <x:v>2.2.090 | 233B7 / [UNUSED] | 椅 | 姨 | 6905 [TGH / 1] | </x:v>
      </x:c>
      <x:c r="R393" s="20" t="str">
        <x:v>Uploaded: n2924-SecondStageSimplificationStatusv3.pdf</x:v>
      </x:c>
    </x:row>
    <x:row r="394">
      <x:c r="A394" s="20" t="str">
        <x:v>2.2.091</x:v>
      </x:c>
      <x:c r="B394" s="20" t="n">
        <x:v>49</x:v>
      </x:c>
      <x:c r="C394" s="20" t="str">
        <x:v>Part Two</x:v>
      </x:c>
      <x:c r="D394" s="20" t="str">
        <x:v>2.2</x:v>
      </x:c>
      <x:c r="E394" s="20" t="str">
        <x:v>Part Two — Pictophonetic Simplifications</x:v>
      </x:c>
      <x:c r="F394" s="20" t="str">
        <x:v>21D2D
[UNUSED]</x:v>
      </x:c>
      <x:c r="G394" s="20" t="str"/>
      <x:c r="H394" s="20" t="str">
        <x:v>椅</x:v>
      </x:c>
      <x:c r="I394" s="20" t="str"/>
      <x:c r="J394" s="20" t="str">
        <x:v>5C79 [TGH
1]</x:v>
      </x:c>
      <x:c r="K394" s="20" t="str"/>
      <x:c r="L394" s="20" t="str">
        <x:v>U+21D2D</x:v>
      </x:c>
      <x:c r="M394" s="20" t="str">
        <x:v>CJK Unified Ideographs Extension B</x:v>
      </x:c>
      <x:c r="N394" s="20" t="str">
        <x:v>Unicode code point recorded</x:v>
      </x:c>
      <x:c r="O394" s="20" t="str">
        <x:v>Low</x:v>
      </x:c>
      <x:c r="P394" s="20" t="str">
        <x:v>Structured</x:v>
      </x:c>
      <x:c r="Q394" s="20" t="str">
        <x:v>2.2.091 | 21D2D / [UNUSED] |  | 椅 | 5C79 [TGH / 1] | </x:v>
      </x:c>
      <x:c r="R394" s="20" t="str">
        <x:v>Uploaded: n2924-SecondStageSimplificationStatusv3.pdf</x:v>
      </x:c>
    </x:row>
    <x:row r="395">
      <x:c r="A395" s="20" t="str">
        <x:v>2.2.092</x:v>
      </x:c>
      <x:c r="B395" s="20" t="n">
        <x:v>49</x:v>
      </x:c>
      <x:c r="C395" s="20" t="str">
        <x:v>Part Two</x:v>
      </x:c>
      <x:c r="D395" s="20" t="str">
        <x:v>2.2</x:v>
      </x:c>
      <x:c r="E395" s="20" t="str">
        <x:v>Part Two — Pictophonetic Simplifications</x:v>
      </x:c>
      <x:c r="F395" s="20" t="str">
        <x:v>24D25
[UNUSED]</x:v>
      </x:c>
      <x:c r="G395" s="20" t="str">
        <x:v>𡴭𡴭
癔</x:v>
      </x:c>
      <x:c r="H395" s="20" t="str">
        <x:v>屹</x:v>
      </x:c>
      <x:c r="I395" s="20" t="str"/>
      <x:c r="J395" s="20" t="str">
        <x:v>7654 [TGH
2]</x:v>
      </x:c>
      <x:c r="K395" s="20" t="str"/>
      <x:c r="L395" s="20" t="str">
        <x:v>U+24D25</x:v>
      </x:c>
      <x:c r="M395" s="20" t="str">
        <x:v>CJK Unified Ideographs Extension B</x:v>
      </x:c>
      <x:c r="N395" s="20" t="str">
        <x:v>Unicode code point recorded</x:v>
      </x:c>
      <x:c r="O395" s="20" t="str">
        <x:v>Low</x:v>
      </x:c>
      <x:c r="P395" s="20" t="str">
        <x:v>Structured</x:v>
      </x:c>
      <x:c r="Q395" s="20" t="str">
        <x:v>2.2.092 | 24D25 / [UNUSED] | 𡴭𡴭 / 癔 | 屹 | 7654 [TGH / 2] | </x:v>
      </x:c>
      <x:c r="R395" s="20" t="str">
        <x:v>Uploaded: n2924-SecondStageSimplificationStatusv3.pdf</x:v>
      </x:c>
    </x:row>
    <x:row r="396">
      <x:c r="A396" s="20" t="str">
        <x:v>2.2.093</x:v>
      </x:c>
      <x:c r="B396" s="20" t="n">
        <x:v>50</x:v>
      </x:c>
      <x:c r="C396" s="20" t="str">
        <x:v>Part Two</x:v>
      </x:c>
      <x:c r="D396" s="20" t="str">
        <x:v>2.2</x:v>
      </x:c>
      <x:c r="E396" s="20" t="str">
        <x:v>Part Two — Pictophonetic Simplifications</x:v>
      </x:c>
      <x:c r="F396" s="20" t="str">
        <x:v>⿱乙力</x:v>
      </x:c>
      <x:c r="G396" s="20" t="str">
        <x:v>毅</x:v>
      </x:c>
      <x:c r="H396" s="20" t="str"/>
      <x:c r="I396" s="20" t="str"/>
      <x:c r="J396" s="20" t="str">
        <x:v>6BC5 [TGH
1]</x:v>
      </x:c>
      <x:c r="K396" s="20" t="str"/>
      <x:c r="L396" s="20" t="str"/>
      <x:c r="M396" s="20" t="str"/>
      <x:c r="N396" s="20" t="str">
        <x:v>IDS / unencoded in 2022 source — review against Unicode 17 / GEJ</x:v>
      </x:c>
      <x:c r="O396" s="20" t="str">
        <x:v>High</x:v>
      </x:c>
      <x:c r="P396" s="20" t="str">
        <x:v>Structured</x:v>
      </x:c>
      <x:c r="Q396" s="20" t="str">
        <x:v>2.2.093 | ⿱乙力 | 毅 |  | 6BC5 [TGH / 1] | </x:v>
      </x:c>
      <x:c r="R396" s="20" t="str">
        <x:v>Uploaded: n2924-SecondStageSimplificationStatusv3.pdf</x:v>
      </x:c>
    </x:row>
    <x:row r="397">
      <x:c r="A397" s="20" t="str">
        <x:v>2.2.094</x:v>
      </x:c>
      <x:c r="B397" s="20" t="n">
        <x:v>50</x:v>
      </x:c>
      <x:c r="C397" s="20" t="str">
        <x:v>Part Two</x:v>
      </x:c>
      <x:c r="D397" s="20" t="str">
        <x:v>2.2</x:v>
      </x:c>
      <x:c r="E397" s="20" t="str">
        <x:v>Part Two — Pictophonetic Simplifications</x:v>
      </x:c>
      <x:c r="F397" s="20" t="str">
        <x:v>⿰忄以</x:v>
      </x:c>
      <x:c r="G397" s="20" t="str">
        <x:v>疑</x:v>
      </x:c>
      <x:c r="H397" s="20" t="str">
        <x:v>毅</x:v>
      </x:c>
      <x:c r="I397" s="20" t="str"/>
      <x:c r="J397" s="20" t="str">
        <x:v>7591 [TGH
1]</x:v>
      </x:c>
      <x:c r="K397" s="20" t="str"/>
      <x:c r="L397" s="20" t="str"/>
      <x:c r="M397" s="20" t="str"/>
      <x:c r="N397" s="20" t="str">
        <x:v>IDS / unencoded in 2022 source — review against Unicode 17 / GEJ</x:v>
      </x:c>
      <x:c r="O397" s="20" t="str">
        <x:v>High</x:v>
      </x:c>
      <x:c r="P397" s="20" t="str">
        <x:v>Structured</x:v>
      </x:c>
      <x:c r="Q397" s="20" t="str">
        <x:v>2.2.094 | ⿰忄以 | 疑 | 毅 | 7591 [TGH / 1] | </x:v>
      </x:c>
      <x:c r="R397" s="20" t="str">
        <x:v>Uploaded: n2924-SecondStageSimplificationStatusv3.pdf</x:v>
      </x:c>
    </x:row>
    <x:row r="398">
      <x:c r="A398" s="20" t="str">
        <x:v>2.2.095</x:v>
      </x:c>
      <x:c r="B398" s="20" t="n">
        <x:v>50</x:v>
      </x:c>
      <x:c r="C398" s="20" t="str">
        <x:v>Part Two</x:v>
      </x:c>
      <x:c r="D398" s="20" t="str">
        <x:v>2.2</x:v>
      </x:c>
      <x:c r="E398" s="20" t="str">
        <x:v>Part Two — Pictophonetic Simplifications</x:v>
      </x:c>
      <x:c r="F398" s="20" t="str">
        <x:v>⿰应鸟</x:v>
      </x:c>
      <x:c r="G398" s="20" t="str">
        <x:v>鹰</x:v>
      </x:c>
      <x:c r="H398" s="20" t="str">
        <x:v>疑</x:v>
      </x:c>
      <x:c r="I398" s="20" t="str"/>
      <x:c r="J398" s="20" t="str">
        <x:v>9E70 [TGH
1]</x:v>
      </x:c>
      <x:c r="K398" s="20" t="str"/>
      <x:c r="L398" s="20" t="str"/>
      <x:c r="M398" s="20" t="str"/>
      <x:c r="N398" s="20" t="str">
        <x:v>IDS / unencoded in 2022 source — review against Unicode 17 / GEJ</x:v>
      </x:c>
      <x:c r="O398" s="20" t="str">
        <x:v>High</x:v>
      </x:c>
      <x:c r="P398" s="20" t="str">
        <x:v>Structured</x:v>
      </x:c>
      <x:c r="Q398" s="20" t="str">
        <x:v>2.2.095 | ⿰应鸟 | 鹰 | 疑 | 9E70 [TGH / 1] | </x:v>
      </x:c>
      <x:c r="R398" s="20" t="str">
        <x:v>Uploaded: n2924-SecondStageSimplificationStatusv3.pdf</x:v>
      </x:c>
    </x:row>
    <x:row r="399">
      <x:c r="A399" s="20" t="str">
        <x:v>2.2.096</x:v>
      </x:c>
      <x:c r="B399" s="20" t="n">
        <x:v>50</x:v>
      </x:c>
      <x:c r="C399" s="20" t="str">
        <x:v>Part Two</x:v>
      </x:c>
      <x:c r="D399" s="20" t="str">
        <x:v>2.2</x:v>
      </x:c>
      <x:c r="E399" s="20" t="str">
        <x:v>Part Two — Pictophonetic Simplifications</x:v>
      </x:c>
      <x:c r="F399" s="20" t="str">
        <x:v>⿸广用</x:v>
      </x:c>
      <x:c r="G399" s="20" t="str">
        <x:v>庸</x:v>
      </x:c>
      <x:c r="H399" s="20" t="str">
        <x:v>鹰</x:v>
      </x:c>
      <x:c r="I399" s="20" t="str"/>
      <x:c r="J399" s="20" t="str">
        <x:v>5EB8 [TGH
1]</x:v>
      </x:c>
      <x:c r="K399" s="20" t="str"/>
      <x:c r="L399" s="20" t="str"/>
      <x:c r="M399" s="20" t="str"/>
      <x:c r="N399" s="20" t="str">
        <x:v>IDS / unencoded in 2022 source — review against Unicode 17 / GEJ</x:v>
      </x:c>
      <x:c r="O399" s="20" t="str">
        <x:v>High</x:v>
      </x:c>
      <x:c r="P399" s="20" t="str">
        <x:v>Structured</x:v>
      </x:c>
      <x:c r="Q399" s="20" t="str">
        <x:v>2.2.096 | ⿸广用 | 庸 | 鹰 | 5EB8 [TGH / 1] | </x:v>
      </x:c>
      <x:c r="R399" s="20" t="str">
        <x:v>Uploaded: n2924-SecondStageSimplificationStatusv3.pdf</x:v>
      </x:c>
    </x:row>
    <x:row r="400">
      <x:c r="A400" s="20" t="str">
        <x:v>2.2.097</x:v>
      </x:c>
      <x:c r="B400" s="20" t="n">
        <x:v>50</x:v>
      </x:c>
      <x:c r="C400" s="20" t="str">
        <x:v>Part Two</x:v>
      </x:c>
      <x:c r="D400" s="20" t="str">
        <x:v>2.2</x:v>
      </x:c>
      <x:c r="E400" s="20" t="str">
        <x:v>Part Two — Pictophonetic Simplifications</x:v>
      </x:c>
      <x:c r="F400" s="20" t="str">
        <x:v>⿶凵又</x:v>
      </x:c>
      <x:c r="G400" s="20" t="str">
        <x:v>幽</x:v>
      </x:c>
      <x:c r="H400" s="20" t="str">
        <x:v>庸</x:v>
      </x:c>
      <x:c r="I400" s="20" t="str"/>
      <x:c r="J400" s="20" t="str">
        <x:v>5E7D [TGH
1]</x:v>
      </x:c>
      <x:c r="K400" s="20" t="str"/>
      <x:c r="L400" s="20" t="str"/>
      <x:c r="M400" s="20" t="str"/>
      <x:c r="N400" s="20" t="str">
        <x:v>IDS / unencoded in 2022 source — review against Unicode 17 / GEJ</x:v>
      </x:c>
      <x:c r="O400" s="20" t="str">
        <x:v>High</x:v>
      </x:c>
      <x:c r="P400" s="20" t="str">
        <x:v>Structured</x:v>
      </x:c>
      <x:c r="Q400" s="20" t="str">
        <x:v>2.2.097 | ⿶凵又 | 幽 | 庸 | 5E7D [TGH / 1] | </x:v>
      </x:c>
      <x:c r="R400" s="20" t="str">
        <x:v>Uploaded: n2924-SecondStageSimplificationStatusv3.pdf</x:v>
      </x:c>
    </x:row>
    <x:row r="401">
      <x:c r="A401" s="20" t="str">
        <x:v>2.2.098</x:v>
      </x:c>
      <x:c r="B401" s="20" t="n">
        <x:v>50</x:v>
      </x:c>
      <x:c r="C401" s="20" t="str">
        <x:v>Part Two</x:v>
      </x:c>
      <x:c r="D401" s="20" t="str">
        <x:v>2.2</x:v>
      </x:c>
      <x:c r="E401" s="20" t="str">
        <x:v>Part Two — Pictophonetic Simplifications</x:v>
      </x:c>
      <x:c r="F401" s="20" t="str">
        <x:v>⿰讠与</x:v>
      </x:c>
      <x:c r="G401" s="20" t="str">
        <x:v>舆</x:v>
      </x:c>
      <x:c r="H401" s="20" t="str">
        <x:v>幽</x:v>
      </x:c>
      <x:c r="I401" s="20" t="str"/>
      <x:c r="J401" s="20" t="str">
        <x:v>8206 [TGH
1]</x:v>
      </x:c>
      <x:c r="K401" s="20" t="str"/>
      <x:c r="L401" s="20" t="str"/>
      <x:c r="M401" s="20" t="str"/>
      <x:c r="N401" s="20" t="str">
        <x:v>IDS / unencoded in 2022 source — review against Unicode 17 / GEJ</x:v>
      </x:c>
      <x:c r="O401" s="20" t="str">
        <x:v>High</x:v>
      </x:c>
      <x:c r="P401" s="20" t="str">
        <x:v>Structured</x:v>
      </x:c>
      <x:c r="Q401" s="20" t="str">
        <x:v>2.2.098 | ⿰讠与 | 舆 | 幽 | 8206 [TGH / 1] | </x:v>
      </x:c>
      <x:c r="R401" s="20" t="str">
        <x:v>Uploaded: n2924-SecondStageSimplificationStatusv3.pdf</x:v>
      </x:c>
    </x:row>
    <x:row r="402">
      <x:c r="A402" s="20" t="str">
        <x:v>2.2.099</x:v>
      </x:c>
      <x:c r="B402" s="20" t="n">
        <x:v>50</x:v>
      </x:c>
      <x:c r="C402" s="20" t="str">
        <x:v>Part Two</x:v>
      </x:c>
      <x:c r="D402" s="20" t="str">
        <x:v>2.2</x:v>
      </x:c>
      <x:c r="E402" s="20" t="str">
        <x:v>Part Two — Pictophonetic Simplifications</x:v>
      </x:c>
      <x:c r="F402" s="20" t="str">
        <x:v>⿱于心</x:v>
      </x:c>
      <x:c r="G402" s="20" t="str">
        <x:v>愚</x:v>
      </x:c>
      <x:c r="H402" s="20" t="str">
        <x:v>舆</x:v>
      </x:c>
      <x:c r="I402" s="20" t="str"/>
      <x:c r="J402" s="20" t="str">
        <x:v>611A [TGH
1]</x:v>
      </x:c>
      <x:c r="K402" s="20" t="str"/>
      <x:c r="L402" s="20" t="str"/>
      <x:c r="M402" s="20" t="str"/>
      <x:c r="N402" s="20" t="str">
        <x:v>IDS / unencoded in 2022 source — review against Unicode 17 / GEJ</x:v>
      </x:c>
      <x:c r="O402" s="20" t="str">
        <x:v>High</x:v>
      </x:c>
      <x:c r="P402" s="20" t="str">
        <x:v>Structured</x:v>
      </x:c>
      <x:c r="Q402" s="20" t="str">
        <x:v>2.2.099 | ⿱于心 | 愚 | 舆 | 611A [TGH / 1] | </x:v>
      </x:c>
      <x:c r="R402" s="20" t="str">
        <x:v>Uploaded: n2924-SecondStageSimplificationStatusv3.pdf</x:v>
      </x:c>
    </x:row>
    <x:row r="403">
      <x:c r="A403" s="20" t="str">
        <x:v>2.2.100</x:v>
      </x:c>
      <x:c r="B403" s="20" t="n">
        <x:v>50</x:v>
      </x:c>
      <x:c r="C403" s="20" t="str">
        <x:v>Part Two</x:v>
      </x:c>
      <x:c r="D403" s="20" t="str">
        <x:v>2.2</x:v>
      </x:c>
      <x:c r="E403" s="20" t="str">
        <x:v>Part Two — Pictophonetic Simplifications</x:v>
      </x:c>
      <x:c r="F403" s="20" t="str">
        <x:v>⿰阝于</x:v>
      </x:c>
      <x:c r="G403" s="20" t="str">
        <x:v>隅</x:v>
      </x:c>
      <x:c r="H403" s="20" t="str">
        <x:v>愚</x:v>
      </x:c>
      <x:c r="I403" s="20" t="str"/>
      <x:c r="J403" s="20" t="str">
        <x:v>9685 [TGH
1]</x:v>
      </x:c>
      <x:c r="K403" s="20" t="str"/>
      <x:c r="L403" s="20" t="str"/>
      <x:c r="M403" s="20" t="str"/>
      <x:c r="N403" s="20" t="str">
        <x:v>IDS / unencoded in 2022 source — review against Unicode 17 / GEJ</x:v>
      </x:c>
      <x:c r="O403" s="20" t="str">
        <x:v>High</x:v>
      </x:c>
      <x:c r="P403" s="20" t="str">
        <x:v>Structured</x:v>
      </x:c>
      <x:c r="Q403" s="20" t="str">
        <x:v>2.2.100 | ⿰阝于 | 隅 | 愚 | 9685 [TGH / 1] | </x:v>
      </x:c>
      <x:c r="R403" s="20" t="str">
        <x:v>Uploaded: n2924-SecondStageSimplificationStatusv3.pdf</x:v>
      </x:c>
    </x:row>
    <x:row r="404">
      <x:c r="A404" s="20" t="str">
        <x:v>2.2.101</x:v>
      </x:c>
      <x:c r="B404" s="20" t="n">
        <x:v>50</x:v>
      </x:c>
      <x:c r="C404" s="20" t="str">
        <x:v>Part Two</x:v>
      </x:c>
      <x:c r="D404" s="20" t="str">
        <x:v>2.2</x:v>
      </x:c>
      <x:c r="E404" s="20" t="str">
        <x:v>Part Two — Pictophonetic Simplifications</x:v>
      </x:c>
      <x:c r="F404" s="20" t="str">
        <x:v>⿰车元</x:v>
      </x:c>
      <x:c r="G404" s="20" t="str">
        <x:v>辕</x:v>
      </x:c>
      <x:c r="H404" s="20" t="str">
        <x:v>隅</x:v>
      </x:c>
      <x:c r="I404" s="20" t="str"/>
      <x:c r="J404" s="20" t="str">
        <x:v>8F95 [TGH
2]</x:v>
      </x:c>
      <x:c r="K404" s="20" t="str"/>
      <x:c r="L404" s="20" t="str"/>
      <x:c r="M404" s="20" t="str"/>
      <x:c r="N404" s="20" t="str">
        <x:v>IDS / unencoded in 2022 source — review against Unicode 17 / GEJ</x:v>
      </x:c>
      <x:c r="O404" s="20" t="str">
        <x:v>High</x:v>
      </x:c>
      <x:c r="P404" s="20" t="str">
        <x:v>Structured</x:v>
      </x:c>
      <x:c r="Q404" s="20" t="str">
        <x:v>2.2.101 | ⿰车元 | 辕 | 隅 | 8F95 [TGH / 2] | </x:v>
      </x:c>
      <x:c r="R404" s="20" t="str">
        <x:v>Uploaded: n2924-SecondStageSimplificationStatusv3.pdf</x:v>
      </x:c>
    </x:row>
    <x:row r="405">
      <x:c r="A405" s="20" t="str">
        <x:v>2.2.102</x:v>
      </x:c>
      <x:c r="B405" s="20" t="n">
        <x:v>50</x:v>
      </x:c>
      <x:c r="C405" s="20" t="str">
        <x:v>Part Two</x:v>
      </x:c>
      <x:c r="D405" s="20" t="str">
        <x:v>2.2</x:v>
      </x:c>
      <x:c r="E405" s="20" t="str">
        <x:v>Part Two — Pictophonetic Simplifications</x:v>
      </x:c>
      <x:c r="F405" s="20" t="str">
        <x:v>2474C
[UNUSED]</x:v>
      </x:c>
      <x:c r="G405" s="20" t="str">
        <x:v>猿</x:v>
      </x:c>
      <x:c r="H405" s="20" t="str">
        <x:v>辕</x:v>
      </x:c>
      <x:c r="I405" s="20" t="str"/>
      <x:c r="J405" s="20" t="str">
        <x:v>733F [TGH
1]</x:v>
      </x:c>
      <x:c r="K405" s="20" t="str"/>
      <x:c r="L405" s="20" t="str">
        <x:v>U+2474C</x:v>
      </x:c>
      <x:c r="M405" s="20" t="str">
        <x:v>CJK Unified Ideographs Extension B</x:v>
      </x:c>
      <x:c r="N405" s="20" t="str">
        <x:v>Unicode code point recorded</x:v>
      </x:c>
      <x:c r="O405" s="20" t="str">
        <x:v>Low</x:v>
      </x:c>
      <x:c r="P405" s="20" t="str">
        <x:v>Structured</x:v>
      </x:c>
      <x:c r="Q405" s="20" t="str">
        <x:v>2.2.102 | 2474C / [UNUSED] | 猿 | 辕 | 733F [TGH / 1] | </x:v>
      </x:c>
      <x:c r="R405" s="20" t="str">
        <x:v>Uploaded: n2924-SecondStageSimplificationStatusv3.pdf</x:v>
      </x:c>
    </x:row>
    <x:row r="406">
      <x:c r="A406" s="20" t="str">
        <x:v>2.2.103</x:v>
      </x:c>
      <x:c r="B406" s="20" t="n">
        <x:v>50</x:v>
      </x:c>
      <x:c r="C406" s="20" t="str">
        <x:v>Part Two</x:v>
      </x:c>
      <x:c r="D406" s="20" t="str">
        <x:v>2.2</x:v>
      </x:c>
      <x:c r="E406" s="20" t="str">
        <x:v>Part Two — Pictophonetic Simplifications</x:v>
      </x:c>
      <x:c r="F406" s="20" t="str">
        <x:v>2BE75
[UNUSED]</x:v>
      </x:c>
      <x:c r="G406" s="20" t="str">
        <x:v>愿</x:v>
      </x:c>
      <x:c r="H406" s="20" t="str">
        <x:v>猿</x:v>
      </x:c>
      <x:c r="I406" s="20" t="str"/>
      <x:c r="J406" s="20" t="str">
        <x:v>613F [TGH
1]</x:v>
      </x:c>
      <x:c r="K406" s="20" t="str"/>
      <x:c r="L406" s="20" t="str">
        <x:v>U+2BE75</x:v>
      </x:c>
      <x:c r="M406" s="20" t="str">
        <x:v>CJK Unified Ideographs Extension E</x:v>
      </x:c>
      <x:c r="N406" s="20" t="str">
        <x:v>Unicode code point recorded</x:v>
      </x:c>
      <x:c r="O406" s="20" t="str">
        <x:v>Low</x:v>
      </x:c>
      <x:c r="P406" s="20" t="str">
        <x:v>Structured</x:v>
      </x:c>
      <x:c r="Q406" s="20" t="str">
        <x:v>2.2.103 | 2BE75 / [UNUSED] | 愿 | 猿 | 613F [TGH / 1] | </x:v>
      </x:c>
      <x:c r="R406" s="20" t="str">
        <x:v>Uploaded: n2924-SecondStageSimplificationStatusv3.pdf</x:v>
      </x:c>
    </x:row>
    <x:row r="407">
      <x:c r="A407" s="20" t="str">
        <x:v>2.2.104</x:v>
      </x:c>
      <x:c r="B407" s="20" t="n">
        <x:v>50</x:v>
      </x:c>
      <x:c r="C407" s="20" t="str">
        <x:v>Part Two</x:v>
      </x:c>
      <x:c r="D407" s="20" t="str">
        <x:v>2.2</x:v>
      </x:c>
      <x:c r="E407" s="20" t="str">
        <x:v>Part Two — Pictophonetic Simplifications</x:v>
      </x:c>
      <x:c r="F407" s="20" t="str">
        <x:v>8FCC
[UNUSED H]</x:v>
      </x:c>
      <x:c r="G407" s="20" t="str"/>
      <x:c r="H407" s="20" t="str">
        <x:v>愿</x:v>
      </x:c>
      <x:c r="I407" s="20" t="str"/>
      <x:c r="J407" s="20" t="str">
        <x:v>8D8A [TGH
1]</x:v>
      </x:c>
      <x:c r="K407" s="20" t="str"/>
      <x:c r="L407" s="20" t="str">
        <x:v>U+8FCC</x:v>
      </x:c>
      <x:c r="M407" s="20" t="str">
        <x:v>CJK Unified Ideographs</x:v>
      </x:c>
      <x:c r="N407" s="20" t="str">
        <x:v>Unicode code point recorded</x:v>
      </x:c>
      <x:c r="O407" s="20" t="str">
        <x:v>Low</x:v>
      </x:c>
      <x:c r="P407" s="20" t="str">
        <x:v>Structured</x:v>
      </x:c>
      <x:c r="Q407" s="20" t="str">
        <x:v>2.2.104 | 8FCC / [UNUSED H] |  | 愿 | 8D8A [TGH / 1] | </x:v>
      </x:c>
      <x:c r="R407" s="20" t="str">
        <x:v>Uploaded: n2924-SecondStageSimplificationStatusv3.pdf</x:v>
      </x:c>
    </x:row>
    <x:row r="408">
      <x:c r="A408" s="20" t="str">
        <x:v>2.2.105</x:v>
      </x:c>
      <x:c r="B408" s="20" t="n">
        <x:v>50</x:v>
      </x:c>
      <x:c r="C408" s="20" t="str">
        <x:v>Part Two</x:v>
      </x:c>
      <x:c r="D408" s="20" t="str">
        <x:v>2.2</x:v>
      </x:c>
      <x:c r="E408" s="20" t="str">
        <x:v>Part Two — Pictophonetic Simplifications</x:v>
      </x:c>
      <x:c r="F408" s="20" t="str">
        <x:v>2DD08
[UNUSED]</x:v>
      </x:c>
      <x:c r="G408" s="20" t="str">
        <x:v>迌
熨</x:v>
      </x:c>
      <x:c r="H408" s="20" t="str">
        <x:v>越</x:v>
      </x:c>
      <x:c r="I408" s="20" t="str"/>
      <x:c r="J408" s="20" t="str">
        <x:v>71A8 [TGH
2]</x:v>
      </x:c>
      <x:c r="K408" s="20" t="str"/>
      <x:c r="L408" s="20" t="str">
        <x:v>U+2DD08</x:v>
      </x:c>
      <x:c r="M408" s="20" t="str">
        <x:v>CJK Unified Ideographs Extension F</x:v>
      </x:c>
      <x:c r="N408" s="20" t="str">
        <x:v>Unicode code point recorded</x:v>
      </x:c>
      <x:c r="O408" s="20" t="str">
        <x:v>Low</x:v>
      </x:c>
      <x:c r="P408" s="20" t="str">
        <x:v>Structured</x:v>
      </x:c>
      <x:c r="Q408" s="20" t="str">
        <x:v>2.2.105 | 2DD08 / [UNUSED] | 迌 / 熨 | 越 | 71A8 [TGH / 2] | </x:v>
      </x:c>
      <x:c r="R408" s="20" t="str">
        <x:v>Uploaded: n2924-SecondStageSimplificationStatusv3.pdf</x:v>
      </x:c>
    </x:row>
    <x:row r="409">
      <x:c r="A409" s="20" t="str">
        <x:v>2.2.106</x:v>
      </x:c>
      <x:c r="B409" s="20" t="n">
        <x:v>50</x:v>
      </x:c>
      <x:c r="C409" s="20" t="str">
        <x:v>Part Two</x:v>
      </x:c>
      <x:c r="D409" s="20" t="str">
        <x:v>2.2</x:v>
      </x:c>
      <x:c r="E409" s="20" t="str">
        <x:v>Part Two — Pictophonetic Simplifications</x:v>
      </x:c>
      <x:c r="F409" s="20" t="str">
        <x:v>⿺辶早</x:v>
      </x:c>
      <x:c r="G409" s="20" t="str">
        <x:v>遭</x:v>
      </x:c>
      <x:c r="H409" s="20" t="str">
        <x:v>熨</x:v>
      </x:c>
      <x:c r="I409" s="20" t="str"/>
      <x:c r="J409" s="20" t="str">
        <x:v>906D [TGH
1]</x:v>
      </x:c>
      <x:c r="K409" s="20" t="str"/>
      <x:c r="L409" s="20" t="str"/>
      <x:c r="M409" s="20" t="str"/>
      <x:c r="N409" s="20" t="str">
        <x:v>IDS / unencoded in 2022 source — review against Unicode 17 / GEJ</x:v>
      </x:c>
      <x:c r="O409" s="20" t="str">
        <x:v>High</x:v>
      </x:c>
      <x:c r="P409" s="20" t="str">
        <x:v>Structured</x:v>
      </x:c>
      <x:c r="Q409" s="20" t="str">
        <x:v>2.2.106 | ⿺辶早 | 遭 | 熨 | 906D [TGH / 1] | </x:v>
      </x:c>
      <x:c r="R409" s="20" t="str">
        <x:v>Uploaded: n2924-SecondStageSimplificationStatusv3.pdf</x:v>
      </x:c>
    </x:row>
    <x:row r="410">
      <x:c r="A410" s="20" t="str">
        <x:v>2.2.107</x:v>
      </x:c>
      <x:c r="B410" s="20" t="n">
        <x:v>51</x:v>
      </x:c>
      <x:c r="C410" s="20" t="str">
        <x:v>Part Two</x:v>
      </x:c>
      <x:c r="D410" s="20" t="str">
        <x:v>2.2</x:v>
      </x:c>
      <x:c r="E410" s="20" t="str">
        <x:v>Part Two — Pictophonetic Simplifications</x:v>
      </x:c>
      <x:c r="F410" s="20" t="str">
        <x:v>2E1D8
[UNUSED]</x:v>
      </x:c>
      <x:c r="G410" s="20" t="str">
        <x:v>糟</x:v>
      </x:c>
      <x:c r="H410" s="20" t="str"/>
      <x:c r="I410" s="20" t="str"/>
      <x:c r="J410" s="20" t="str">
        <x:v>7CDF [TGH
1]</x:v>
      </x:c>
      <x:c r="K410" s="20" t="str"/>
      <x:c r="L410" s="20" t="str">
        <x:v>U+2E1D8</x:v>
      </x:c>
      <x:c r="M410" s="20" t="str">
        <x:v>CJK Unified Ideographs Extension F</x:v>
      </x:c>
      <x:c r="N410" s="20" t="str">
        <x:v>Unicode code point recorded</x:v>
      </x:c>
      <x:c r="O410" s="20" t="str">
        <x:v>Low</x:v>
      </x:c>
      <x:c r="P410" s="20" t="str">
        <x:v>Structured</x:v>
      </x:c>
      <x:c r="Q410" s="20" t="str">
        <x:v>2.2.107 | 2E1D8 / [UNUSED] | 糟 |  | 7CDF [TGH / 1] | </x:v>
      </x:c>
      <x:c r="R410" s="20" t="str">
        <x:v>Uploaded: n2924-SecondStageSimplificationStatusv3.pdf</x:v>
      </x:c>
    </x:row>
    <x:row r="411">
      <x:c r="A411" s="20" t="str">
        <x:v>2.2.108</x:v>
      </x:c>
      <x:c r="B411" s="20" t="n">
        <x:v>51</x:v>
      </x:c>
      <x:c r="C411" s="20" t="str">
        <x:v>Part Two</x:v>
      </x:c>
      <x:c r="D411" s="20" t="str">
        <x:v>2.2</x:v>
      </x:c>
      <x:c r="E411" s="20" t="str">
        <x:v>Part Two — Pictophonetic Simplifications</x:v>
      </x:c>
      <x:c r="F411" s="20" t="str">
        <x:v>⿰氵早</x:v>
      </x:c>
      <x:c r="G411" s="20" t="str">
        <x:v>澡</x:v>
      </x:c>
      <x:c r="H411" s="20" t="str">
        <x:v>糟</x:v>
      </x:c>
      <x:c r="I411" s="20" t="str"/>
      <x:c r="J411" s="20" t="str">
        <x:v>6FA1 [TGH
1]</x:v>
      </x:c>
      <x:c r="K411" s="20" t="str"/>
      <x:c r="L411" s="20" t="str"/>
      <x:c r="M411" s="20" t="str"/>
      <x:c r="N411" s="20" t="str">
        <x:v>IDS / unencoded in 2022 source — review against Unicode 17 / GEJ</x:v>
      </x:c>
      <x:c r="O411" s="20" t="str">
        <x:v>High</x:v>
      </x:c>
      <x:c r="P411" s="20" t="str">
        <x:v>Structured</x:v>
      </x:c>
      <x:c r="Q411" s="20" t="str">
        <x:v>2.2.108 | ⿰氵早 | 澡 | 糟 | 6FA1 [TGH / 1] | </x:v>
      </x:c>
      <x:c r="R411" s="20" t="str">
        <x:v>Uploaded: n2924-SecondStageSimplificationStatusv3.pdf</x:v>
      </x:c>
    </x:row>
    <x:row r="412">
      <x:c r="A412" s="20" t="str">
        <x:v>2.2.109</x:v>
      </x:c>
      <x:c r="B412" s="20" t="n">
        <x:v>51</x:v>
      </x:c>
      <x:c r="C412" s="20" t="str">
        <x:v>Part Two</x:v>
      </x:c>
      <x:c r="D412" s="20" t="str">
        <x:v>2.2</x:v>
      </x:c>
      <x:c r="E412" s="20" t="str">
        <x:v>Part Two — Pictophonetic Simplifications</x:v>
      </x:c>
      <x:c r="F412" s="20" t="str">
        <x:v>6CCE
[UNUSED H]</x:v>
      </x:c>
      <x:c r="G412" s="20" t="str"/>
      <x:c r="H412" s="20" t="str">
        <x:v>澡</x:v>
      </x:c>
      <x:c r="I412" s="20" t="str"/>
      <x:c r="J412" s="20" t="str">
        <x:v>6E23 [TGH
1]</x:v>
      </x:c>
      <x:c r="K412" s="20" t="str"/>
      <x:c r="L412" s="20" t="str">
        <x:v>U+6CCE</x:v>
      </x:c>
      <x:c r="M412" s="20" t="str">
        <x:v>CJK Unified Ideographs</x:v>
      </x:c>
      <x:c r="N412" s="20" t="str">
        <x:v>Unicode code point recorded</x:v>
      </x:c>
      <x:c r="O412" s="20" t="str">
        <x:v>Low</x:v>
      </x:c>
      <x:c r="P412" s="20" t="str">
        <x:v>Structured</x:v>
      </x:c>
      <x:c r="Q412" s="20" t="str">
        <x:v>2.2.109 | 6CCE / [UNUSED H] |  | 澡 | 6E23 [TGH / 1] | </x:v>
      </x:c>
      <x:c r="R412" s="20" t="str">
        <x:v>Uploaded: n2924-SecondStageSimplificationStatusv3.pdf</x:v>
      </x:c>
    </x:row>
    <x:row r="413">
      <x:c r="A413" s="20" t="str">
        <x:v>2.2.110</x:v>
      </x:c>
      <x:c r="B413" s="20" t="n">
        <x:v>51</x:v>
      </x:c>
      <x:c r="C413" s="20" t="str">
        <x:v>Part Two</x:v>
      </x:c>
      <x:c r="D413" s="20" t="str">
        <x:v>2.2</x:v>
      </x:c>
      <x:c r="E413" s="20" t="str">
        <x:v>Part Two — Pictophonetic Simplifications</x:v>
      </x:c>
      <x:c r="F413" s="20" t="str">
        <x:v>9486 [TGH
3]</x:v>
      </x:c>
      <x:c r="G413" s="20" t="str">
        <x:v>泎</x:v>
      </x:c>
      <x:c r="H413" s="20" t="str">
        <x:v>渣</x:v>
      </x:c>
      <x:c r="I413" s="20" t="str"/>
      <x:c r="J413" s="20" t="str">
        <x:v>94E1 [TGH
2]</x:v>
      </x:c>
      <x:c r="K413" s="20" t="str"/>
      <x:c r="L413" s="20" t="str">
        <x:v>U+9486</x:v>
      </x:c>
      <x:c r="M413" s="20" t="str">
        <x:v>CJK Unified Ideographs</x:v>
      </x:c>
      <x:c r="N413" s="20" t="str">
        <x:v>Unicode code point recorded</x:v>
      </x:c>
      <x:c r="O413" s="20" t="str">
        <x:v>Low</x:v>
      </x:c>
      <x:c r="P413" s="20" t="str">
        <x:v>Structured</x:v>
      </x:c>
      <x:c r="Q413" s="20" t="str">
        <x:v>2.2.110 | 9486 [TGH / 3] | 泎 | 渣 | 94E1 [TGH / 2] | </x:v>
      </x:c>
      <x:c r="R413" s="20" t="str">
        <x:v>Uploaded: n2924-SecondStageSimplificationStatusv3.pdf</x:v>
      </x:c>
    </x:row>
    <x:row r="414">
      <x:c r="A414" s="20" t="str">
        <x:v>2.2.111</x:v>
      </x:c>
      <x:c r="B414" s="20" t="n">
        <x:v>51</x:v>
      </x:c>
      <x:c r="C414" s="20" t="str">
        <x:v>Part Two</x:v>
      </x:c>
      <x:c r="D414" s="20" t="str">
        <x:v>2.2</x:v>
      </x:c>
      <x:c r="E414" s="20" t="str">
        <x:v>Part Two — Pictophonetic Simplifications</x:v>
      </x:c>
      <x:c r="F414" s="20" t="str">
        <x:v>⿰纟占</x:v>
      </x:c>
      <x:c r="G414" s="20" t="str">
        <x:v>钆
绽</x:v>
      </x:c>
      <x:c r="H414" s="20" t="str">
        <x:v>铡</x:v>
      </x:c>
      <x:c r="I414" s="20" t="str"/>
      <x:c r="J414" s="20" t="str">
        <x:v>7EFD [TGH
1]</x:v>
      </x:c>
      <x:c r="K414" s="20" t="str"/>
      <x:c r="L414" s="20" t="str"/>
      <x:c r="M414" s="20" t="str"/>
      <x:c r="N414" s="20" t="str">
        <x:v>IDS / unencoded in 2022 source — review against Unicode 17 / GEJ</x:v>
      </x:c>
      <x:c r="O414" s="20" t="str">
        <x:v>High</x:v>
      </x:c>
      <x:c r="P414" s="20" t="str">
        <x:v>Structured</x:v>
      </x:c>
      <x:c r="Q414" s="20" t="str">
        <x:v>2.2.111 | ⿰纟占 | 钆 / 绽 | 铡 | 7EFD [TGH / 1] | </x:v>
      </x:c>
      <x:c r="R414" s="20" t="str">
        <x:v>Uploaded: n2924-SecondStageSimplificationStatusv3.pdf</x:v>
      </x:c>
    </x:row>
    <x:row r="415">
      <x:c r="A415" s="20" t="str">
        <x:v>2.2.112</x:v>
      </x:c>
      <x:c r="B415" s="20" t="n">
        <x:v>51</x:v>
      </x:c>
      <x:c r="C415" s="20" t="str">
        <x:v>Part Two</x:v>
      </x:c>
      <x:c r="D415" s="20" t="str">
        <x:v>2.2</x:v>
      </x:c>
      <x:c r="E415" s="20" t="str">
        <x:v>Part Two — Pictophonetic Simplifications</x:v>
      </x:c>
      <x:c r="F415" s="20" t="str">
        <x:v>⿰氵长</x:v>
      </x:c>
      <x:c r="G415" s="20" t="str">
        <x:v>涨</x:v>
      </x:c>
      <x:c r="H415" s="20" t="str">
        <x:v>绽
涨胀</x:v>
      </x:c>
      <x:c r="I415" s="20" t="str"/>
      <x:c r="J415" s="20" t="str">
        <x:v>6DA8 [TGH
1]
80C0 [TGH
1]</x:v>
      </x:c>
      <x:c r="K415" s="20" t="str"/>
      <x:c r="L415" s="20" t="str"/>
      <x:c r="M415" s="20" t="str"/>
      <x:c r="N415" s="20" t="str">
        <x:v>IDS / unencoded in 2022 source — review against Unicode 17 / GEJ</x:v>
      </x:c>
      <x:c r="O415" s="20" t="str">
        <x:v>High</x:v>
      </x:c>
      <x:c r="P415" s="20" t="str">
        <x:v>Structured</x:v>
      </x:c>
      <x:c r="Q415" s="20" t="str">
        <x:v>2.2.112 | ⿰氵长 | 涨 | 绽 / 涨胀 | 6DA8 [TGH / 1] / 80C0 [TGH / 1] | </x:v>
      </x:c>
      <x:c r="R415" s="20" t="str">
        <x:v>Uploaded: n2924-SecondStageSimplificationStatusv3.pdf</x:v>
      </x:c>
    </x:row>
    <x:row r="416">
      <x:c r="A416" s="20" t="str">
        <x:v>2.2.113</x:v>
      </x:c>
      <x:c r="B416" s="20" t="n">
        <x:v>51</x:v>
      </x:c>
      <x:c r="C416" s="20" t="str">
        <x:v>Part Two</x:v>
      </x:c>
      <x:c r="D416" s="20" t="str">
        <x:v>2.2</x:v>
      </x:c>
      <x:c r="E416" s="20" t="str">
        <x:v>Part Two — Pictophonetic Simplifications</x:v>
      </x:c>
      <x:c r="F416" s="20" t="str">
        <x:v>70A1
[UNUSED
H㏎PT]</x:v>
      </x:c>
      <x:c r="G416" s="20" t="str">
        <x:v>炡</x:v>
      </x:c>
      <x:c r="H416" s="20" t="str">
        <x:v>蒸</x:v>
      </x:c>
      <x:c r="I416" s="20" t="str"/>
      <x:c r="J416" s="20" t="str">
        <x:v>84B8 [TGH
1]</x:v>
      </x:c>
      <x:c r="K416" s="20" t="str"/>
      <x:c r="L416" s="20" t="str">
        <x:v>U+70A1</x:v>
      </x:c>
      <x:c r="M416" s="20" t="str">
        <x:v>CJK Unified Ideographs</x:v>
      </x:c>
      <x:c r="N416" s="20" t="str">
        <x:v>Unicode code point recorded</x:v>
      </x:c>
      <x:c r="O416" s="20" t="str">
        <x:v>Low</x:v>
      </x:c>
      <x:c r="P416" s="20" t="str">
        <x:v>Structured</x:v>
      </x:c>
      <x:c r="Q416" s="20" t="str">
        <x:v>2.2.113 | 70A1 / [UNUSED / H㏎PT] | 炡 | 蒸 | 84B8 [TGH / 1] | </x:v>
      </x:c>
      <x:c r="R416" s="20" t="str">
        <x:v>Uploaded: n2924-SecondStageSimplificationStatusv3.pdf</x:v>
      </x:c>
    </x:row>
    <x:row r="417">
      <x:c r="A417" s="20" t="str">
        <x:v>2.2.114</x:v>
      </x:c>
      <x:c r="B417" s="20" t="n">
        <x:v>51</x:v>
      </x:c>
      <x:c r="C417" s="20" t="str">
        <x:v>Part Two</x:v>
      </x:c>
      <x:c r="D417" s="20" t="str">
        <x:v>2.2</x:v>
      </x:c>
      <x:c r="E417" s="20" t="str">
        <x:v>Part Two — Pictophonetic Simplifications</x:v>
      </x:c>
      <x:c r="F417" s="20" t="str">
        <x:v>⿰𧾷𧾷中</x:v>
      </x:c>
      <x:c r="G417" s="20" t="str">
        <x:v>踵</x:v>
      </x:c>
      <x:c r="H417" s="20" t="str"/>
      <x:c r="I417" s="20" t="str"/>
      <x:c r="J417" s="20" t="str">
        <x:v>8E35 [TGH
2]</x:v>
      </x:c>
      <x:c r="K417" s="20" t="str"/>
      <x:c r="L417" s="20" t="str"/>
      <x:c r="M417" s="20" t="str"/>
      <x:c r="N417" s="20" t="str">
        <x:v>IDS / unencoded in 2022 source — review against Unicode 17 / GEJ</x:v>
      </x:c>
      <x:c r="O417" s="20" t="str">
        <x:v>High</x:v>
      </x:c>
      <x:c r="P417" s="20" t="str">
        <x:v>Structured</x:v>
      </x:c>
      <x:c r="Q417" s="20" t="str">
        <x:v>2.2.114 | ⿰𧾷𧾷中 | 踵 |  | 8E35 [TGH / 2] | </x:v>
      </x:c>
      <x:c r="R417" s="20" t="str">
        <x:v>Uploaded: n2924-SecondStageSimplificationStatusv3.pdf</x:v>
      </x:c>
    </x:row>
    <x:row r="418">
      <x:c r="A418" s="20" t="str">
        <x:v>2.2.115</x:v>
      </x:c>
      <x:c r="B418" s="20" t="n">
        <x:v>51</x:v>
      </x:c>
      <x:c r="C418" s="20" t="str">
        <x:v>Part Two</x:v>
      </x:c>
      <x:c r="D418" s="20" t="str">
        <x:v>2.2</x:v>
      </x:c>
      <x:c r="E418" s="20" t="str">
        <x:v>Part Two — Pictophonetic Simplifications</x:v>
      </x:c>
      <x:c r="F418" s="20" t="str">
        <x:v>⿰贝专</x:v>
      </x:c>
      <x:c r="G418" s="20" t="str">
        <x:v>赚</x:v>
      </x:c>
      <x:c r="H418" s="20" t="str">
        <x:v>踵</x:v>
      </x:c>
      <x:c r="I418" s="20" t="str"/>
      <x:c r="J418" s="20" t="str">
        <x:v>8D5A [TGH
1]</x:v>
      </x:c>
      <x:c r="K418" s="20" t="str"/>
      <x:c r="L418" s="20" t="str"/>
      <x:c r="M418" s="20" t="str"/>
      <x:c r="N418" s="20" t="str">
        <x:v>IDS / unencoded in 2022 source — review against Unicode 17 / GEJ</x:v>
      </x:c>
      <x:c r="O418" s="20" t="str">
        <x:v>High</x:v>
      </x:c>
      <x:c r="P418" s="20" t="str">
        <x:v>Structured</x:v>
      </x:c>
      <x:c r="Q418" s="20" t="str">
        <x:v>2.2.115 | ⿰贝专 | 赚 | 踵 | 8D5A [TGH / 1] | </x:v>
      </x:c>
      <x:c r="R418" s="20" t="str">
        <x:v>Uploaded: n2924-SecondStageSimplificationStatusv3.pdf</x:v>
      </x:c>
    </x:row>
    <x:row r="419">
      <x:c r="A419" s="20" t="str">
        <x:v>2.2.116</x:v>
      </x:c>
      <x:c r="B419" s="20" t="n">
        <x:v>51</x:v>
      </x:c>
      <x:c r="C419" s="20" t="str">
        <x:v>Part Two</x:v>
      </x:c>
      <x:c r="D419" s="20" t="str">
        <x:v>2.2</x:v>
      </x:c>
      <x:c r="E419" s="20" t="str">
        <x:v>Part Two — Pictophonetic Simplifications</x:v>
      </x:c>
      <x:c r="F419" s="20" t="str">
        <x:v>22B02
[UNUSED]</x:v>
      </x:c>
      <x:c r="G419" s="20" t="str">
        <x:v>撞</x:v>
      </x:c>
      <x:c r="H419" s="20" t="str">
        <x:v>赚</x:v>
      </x:c>
      <x:c r="I419" s="20" t="str"/>
      <x:c r="J419" s="20" t="str">
        <x:v>649E [TGH
1]</x:v>
      </x:c>
      <x:c r="K419" s="20" t="str"/>
      <x:c r="L419" s="20" t="str">
        <x:v>U+22B02</x:v>
      </x:c>
      <x:c r="M419" s="20" t="str">
        <x:v>CJK Unified Ideographs Extension B</x:v>
      </x:c>
      <x:c r="N419" s="20" t="str">
        <x:v>Unicode code point recorded</x:v>
      </x:c>
      <x:c r="O419" s="20" t="str">
        <x:v>Low</x:v>
      </x:c>
      <x:c r="P419" s="20" t="str">
        <x:v>Structured</x:v>
      </x:c>
      <x:c r="Q419" s="20" t="str">
        <x:v>2.2.116 | 22B02 / [UNUSED] | 撞 | 赚 | 649E [TGH / 1] | </x:v>
      </x:c>
      <x:c r="R419" s="20" t="str">
        <x:v>Uploaded: n2924-SecondStageSimplificationStatusv3.pdf</x:v>
      </x:c>
    </x:row>
    <x:row r="420">
      <x:c r="A420" s="20" t="str">
        <x:v>2.3.001</x:v>
      </x:c>
      <x:c r="B420" s="20" t="n">
        <x:v>52</x:v>
      </x:c>
      <x:c r="C420" s="20" t="str">
        <x:v>Part Two</x:v>
      </x:c>
      <x:c r="D420" s="20" t="str">
        <x:v>2.3</x:v>
      </x:c>
      <x:c r="E420" s="20" t="str">
        <x:v>Part Two — Idiosyncratic Simplifications</x:v>
      </x:c>
      <x:c r="F420" s="20" t="str"/>
      <x:c r="G420" s="20" t="str">
        <x:v>插</x:v>
      </x:c>
      <x:c r="H420" s="20" t="str">
        <x:v>插锸
臿</x:v>
      </x:c>
      <x:c r="I420" s="20" t="str"/>
      <x:c r="J420" s="20" t="str">
        <x:v>63D2 [TGH
1]
9538 [TGH
2]
81FF
[UNUSED
HMT]</x:v>
      </x:c>
      <x:c r="K420" s="20" t="str"/>
      <x:c r="L420" s="20" t="str"/>
      <x:c r="M420" s="20" t="str"/>
      <x:c r="N420" s="20" t="str">
        <x:v>No code-point data extracted — manual review</x:v>
      </x:c>
      <x:c r="O420" s="20" t="str">
        <x:v>Medium</x:v>
      </x:c>
      <x:c r="P420" s="20" t="str">
        <x:v>Structured</x:v>
      </x:c>
      <x:c r="Q420" s="20" t="str">
        <x:v>2.3.001 |  | 插 | 插锸 / 臿 | 63D2 [TGH / 1] / 9538 [TGH / 2] / 81FF / [UNUSED / HMT] | </x:v>
      </x:c>
      <x:c r="R420" s="20" t="str">
        <x:v>Uploaded: n2924-SecondStageSimplificationStatusv3.pdf</x:v>
      </x:c>
    </x:row>
    <x:row r="421">
      <x:c r="A421" s="20" t="str">
        <x:v>2.3.002</x:v>
      </x:c>
      <x:c r="B421" s="20" t="n">
        <x:v>52</x:v>
      </x:c>
      <x:c r="C421" s="20" t="str">
        <x:v>Part Two</x:v>
      </x:c>
      <x:c r="D421" s="20" t="str">
        <x:v>2.3</x:v>
      </x:c>
      <x:c r="E421" s="20" t="str">
        <x:v>Part Two — Idiosyncratic Simplifications</x:v>
      </x:c>
      <x:c r="F421" s="20" t="str"/>
      <x:c r="G421" s="20" t="str">
        <x:v>得</x:v>
      </x:c>
      <x:c r="H421" s="20" t="str"/>
      <x:c r="I421" s="20" t="str"/>
      <x:c r="J421" s="20" t="str">
        <x:v>5F97 [TGH
1]</x:v>
      </x:c>
      <x:c r="K421" s="20" t="str"/>
      <x:c r="L421" s="20" t="str"/>
      <x:c r="M421" s="20" t="str"/>
      <x:c r="N421" s="20" t="str">
        <x:v>No code-point data extracted — manual review</x:v>
      </x:c>
      <x:c r="O421" s="20" t="str">
        <x:v>Medium</x:v>
      </x:c>
      <x:c r="P421" s="20" t="str">
        <x:v>Structured</x:v>
      </x:c>
      <x:c r="Q421" s="20" t="str">
        <x:v>2.3.002 |  | 得 |  | 5F97 [TGH / 1] | </x:v>
      </x:c>
      <x:c r="R421" s="20" t="str">
        <x:v>Uploaded: n2924-SecondStageSimplificationStatusv3.pdf</x:v>
      </x:c>
    </x:row>
    <x:row r="422">
      <x:c r="A422" s="20" t="str">
        <x:v>2.3.003</x:v>
      </x:c>
      <x:c r="B422" s="20" t="n">
        <x:v>52</x:v>
      </x:c>
      <x:c r="C422" s="20" t="str">
        <x:v>Part Two</x:v>
      </x:c>
      <x:c r="D422" s="20" t="str">
        <x:v>2.3</x:v>
      </x:c>
      <x:c r="E422" s="20" t="str">
        <x:v>Part Two — Idiosyncratic Simplifications</x:v>
      </x:c>
      <x:c r="F422" s="20" t="str"/>
      <x:c r="G422" s="20" t="str">
        <x:v>德</x:v>
      </x:c>
      <x:c r="H422" s="20" t="str">
        <x:v>得</x:v>
      </x:c>
      <x:c r="I422" s="20" t="str"/>
      <x:c r="J422" s="20" t="str">
        <x:v>5FB7 [TGH
1]</x:v>
      </x:c>
      <x:c r="K422" s="20" t="str"/>
      <x:c r="L422" s="20" t="str"/>
      <x:c r="M422" s="20" t="str"/>
      <x:c r="N422" s="20" t="str">
        <x:v>No code-point data extracted — manual review</x:v>
      </x:c>
      <x:c r="O422" s="20" t="str">
        <x:v>Medium</x:v>
      </x:c>
      <x:c r="P422" s="20" t="str">
        <x:v>Structured</x:v>
      </x:c>
      <x:c r="Q422" s="20" t="str">
        <x:v>2.3.003 |  | 德 | 得 | 5FB7 [TGH / 1] | </x:v>
      </x:c>
      <x:c r="R422" s="20" t="str">
        <x:v>Uploaded: n2924-SecondStageSimplificationStatusv3.pdf</x:v>
      </x:c>
    </x:row>
    <x:row r="423">
      <x:c r="A423" s="20" t="str">
        <x:v>2.3.004</x:v>
      </x:c>
      <x:c r="B423" s="20" t="n">
        <x:v>52</x:v>
      </x:c>
      <x:c r="C423" s="20" t="str">
        <x:v>Part Two</x:v>
      </x:c>
      <x:c r="D423" s="20" t="str">
        <x:v>2.3</x:v>
      </x:c>
      <x:c r="E423" s="20" t="str">
        <x:v>Part Two — Idiosyncratic Simplifications</x:v>
      </x:c>
      <x:c r="F423" s="20" t="str">
        <x:v>5F17 [TGH
1]</x:v>
      </x:c>
      <x:c r="G423" s="20" t="str"/>
      <x:c r="H423" s="20" t="str">
        <x:v>德</x:v>
      </x:c>
      <x:c r="I423" s="20" t="str"/>
      <x:c r="J423" s="20" t="str">
        <x:v>8D39 [TGH
1]</x:v>
      </x:c>
      <x:c r="K423" s="20" t="str"/>
      <x:c r="L423" s="20" t="str">
        <x:v>U+5F17</x:v>
      </x:c>
      <x:c r="M423" s="20" t="str">
        <x:v>CJK Unified Ideographs</x:v>
      </x:c>
      <x:c r="N423" s="20" t="str">
        <x:v>Unicode code point recorded</x:v>
      </x:c>
      <x:c r="O423" s="20" t="str">
        <x:v>Low</x:v>
      </x:c>
      <x:c r="P423" s="20" t="str">
        <x:v>Structured</x:v>
      </x:c>
      <x:c r="Q423" s="20" t="str">
        <x:v>2.3.004 | 5F17 [TGH / 1] |  | 德 | 8D39 [TGH / 1] | </x:v>
      </x:c>
      <x:c r="R423" s="20" t="str">
        <x:v>Uploaded: n2924-SecondStageSimplificationStatusv3.pdf</x:v>
      </x:c>
    </x:row>
    <x:row r="424">
      <x:c r="A424" s="20" t="str">
        <x:v>2.3.005</x:v>
      </x:c>
      <x:c r="B424" s="20" t="n">
        <x:v>52</x:v>
      </x:c>
      <x:c r="C424" s="20" t="str">
        <x:v>Part Two</x:v>
      </x:c>
      <x:c r="D424" s="20" t="str">
        <x:v>2.3</x:v>
      </x:c>
      <x:c r="E424" s="20" t="str">
        <x:v>Part Two — Idiosyncratic Simplifications</x:v>
      </x:c>
      <x:c r="F424" s="20" t="str">
        <x:v>5906
[UNUSED
HMT]</x:v>
      </x:c>
      <x:c r="G424" s="20" t="str">
        <x:v>弗
夆</x:v>
      </x:c>
      <x:c r="H424" s="20" t="str">
        <x:v>费
蜂峰
烽锋</x:v>
      </x:c>
      <x:c r="I424" s="20" t="str"/>
      <x:c r="J424" s="20" t="str">
        <x:v>8702 [TGH
1]
5CF0 [TGH
1]
70FD [TGH
2]
950B [TGH
1]</x:v>
      </x:c>
      <x:c r="K424" s="20" t="str"/>
      <x:c r="L424" s="20" t="str">
        <x:v>U+5906</x:v>
      </x:c>
      <x:c r="M424" s="20" t="str">
        <x:v>CJK Unified Ideographs</x:v>
      </x:c>
      <x:c r="N424" s="20" t="str">
        <x:v>Unicode code point recorded</x:v>
      </x:c>
      <x:c r="O424" s="20" t="str">
        <x:v>Low</x:v>
      </x:c>
      <x:c r="P424" s="20" t="str">
        <x:v>Structured</x:v>
      </x:c>
      <x:c r="Q424" s="20" t="str">
        <x:v>2.3.005 | 5906 / [UNUSED / HMT] | 弗 / 夆 | 费 / 蜂峰 / 烽锋 | 8702 [TGH / 1] / 5CF0 [TGH / 1] / 70FD [TGH / 2] / 950B [TGH / 1] | </x:v>
      </x:c>
      <x:c r="R424" s="20" t="str">
        <x:v>Uploaded: n2924-SecondStageSimplificationStatusv3.pdf</x:v>
      </x:c>
    </x:row>
    <x:row r="425">
      <x:c r="A425" s="20" t="str">
        <x:v>2.3.006</x:v>
      </x:c>
      <x:c r="B425" s="20" t="n">
        <x:v>52</x:v>
      </x:c>
      <x:c r="C425" s="20" t="str">
        <x:v>Part Two</x:v>
      </x:c>
      <x:c r="D425" s="20" t="str">
        <x:v>2.3</x:v>
      </x:c>
      <x:c r="E425" s="20" t="str">
        <x:v>Part Two — Idiosyncratic Simplifications</x:v>
      </x:c>
      <x:c r="F425" s="20" t="str">
        <x:v>58F4
[UNUSED
HMT]</x:v>
      </x:c>
      <x:c r="G425" s="20" t="str">
        <x:v>壴</x:v>
      </x:c>
      <x:c r="H425" s="20" t="str">
        <x:v>鼓臌</x:v>
      </x:c>
      <x:c r="I425" s="20" t="str"/>
      <x:c r="J425" s="20" t="str">
        <x:v>9F13 [TGH
1]
81CC [TGH
2]</x:v>
      </x:c>
      <x:c r="K425" s="20" t="str"/>
      <x:c r="L425" s="20" t="str">
        <x:v>U+58F4</x:v>
      </x:c>
      <x:c r="M425" s="20" t="str">
        <x:v>CJK Unified Ideographs</x:v>
      </x:c>
      <x:c r="N425" s="20" t="str">
        <x:v>Unicode code point recorded</x:v>
      </x:c>
      <x:c r="O425" s="20" t="str">
        <x:v>Low</x:v>
      </x:c>
      <x:c r="P425" s="20" t="str">
        <x:v>Structured</x:v>
      </x:c>
      <x:c r="Q425" s="20" t="str">
        <x:v>2.3.006 | 58F4 / [UNUSED / HMT] | 壴 | 鼓臌 | 9F13 [TGH / 1] / 81CC [TGH / 2] | </x:v>
      </x:c>
      <x:c r="R425" s="20" t="str">
        <x:v>Uploaded: n2924-SecondStageSimplificationStatusv3.pdf</x:v>
      </x:c>
    </x:row>
    <x:row r="426">
      <x:c r="A426" s="20" t="str">
        <x:v>2.3.007</x:v>
      </x:c>
      <x:c r="B426" s="20" t="n">
        <x:v>52</x:v>
      </x:c>
      <x:c r="C426" s="20" t="str">
        <x:v>Part Two</x:v>
      </x:c>
      <x:c r="D426" s="20" t="str">
        <x:v>2.3</x:v>
      </x:c>
      <x:c r="E426" s="20" t="str">
        <x:v>Part Two — Idiosyncratic Simplifications</x:v>
      </x:c>
      <x:c r="F426" s="20" t="str"/>
      <x:c r="G426" s="20" t="str">
        <x:v>衮</x:v>
      </x:c>
      <x:c r="H426" s="20" t="str">
        <x:v>衮滚
磙</x:v>
      </x:c>
      <x:c r="I426" s="20" t="str"/>
      <x:c r="J426" s="20" t="str">
        <x:v>886E [TGH
2]
6EDA [TGH
1]
78D9 [TGH
2]</x:v>
      </x:c>
      <x:c r="K426" s="20" t="str"/>
      <x:c r="L426" s="20" t="str"/>
      <x:c r="M426" s="20" t="str"/>
      <x:c r="N426" s="20" t="str">
        <x:v>No code-point data extracted — manual review</x:v>
      </x:c>
      <x:c r="O426" s="20" t="str">
        <x:v>Medium</x:v>
      </x:c>
      <x:c r="P426" s="20" t="str">
        <x:v>Structured</x:v>
      </x:c>
      <x:c r="Q426" s="20" t="str">
        <x:v>2.3.007 |  | 衮 | 衮滚 / 磙 | 886E [TGH / 2] / 6EDA [TGH / 1] / 78D9 [TGH / 2] | </x:v>
      </x:c>
      <x:c r="R426" s="20" t="str">
        <x:v>Uploaded: n2924-SecondStageSimplificationStatusv3.pdf</x:v>
      </x:c>
    </x:row>
    <x:row r="427">
      <x:c r="A427" s="20" t="str">
        <x:v>2.3.008</x:v>
      </x:c>
      <x:c r="B427" s="20" t="n">
        <x:v>52</x:v>
      </x:c>
      <x:c r="C427" s="20" t="str">
        <x:v>Part Two</x:v>
      </x:c>
      <x:c r="D427" s="20" t="str">
        <x:v>2.3</x:v>
      </x:c>
      <x:c r="E427" s="20" t="str">
        <x:v>Part Two — Idiosyncratic Simplifications</x:v>
      </x:c>
      <x:c r="F427" s="20" t="str"/>
      <x:c r="G427" s="20" t="str">
        <x:v>侯</x:v>
      </x:c>
      <x:c r="H427" s="20" t="str">
        <x:v>侯候</x:v>
      </x:c>
      <x:c r="I427" s="20" t="str"/>
      <x:c r="J427" s="20" t="str">
        <x:v>4FAF [TGH
1]
5019 [TGH
1]</x:v>
      </x:c>
      <x:c r="K427" s="20" t="str"/>
      <x:c r="L427" s="20" t="str"/>
      <x:c r="M427" s="20" t="str"/>
      <x:c r="N427" s="20" t="str">
        <x:v>No code-point data extracted — manual review</x:v>
      </x:c>
      <x:c r="O427" s="20" t="str">
        <x:v>Medium</x:v>
      </x:c>
      <x:c r="P427" s="20" t="str">
        <x:v>Structured</x:v>
      </x:c>
      <x:c r="Q427" s="20" t="str">
        <x:v>2.3.008 |  | 侯 | 侯候 | 4FAF [TGH / 1] / 5019 [TGH / 1] | </x:v>
      </x:c>
      <x:c r="R427" s="20" t="str">
        <x:v>Uploaded: n2924-SecondStageSimplificationStatusv3.pdf</x:v>
      </x:c>
    </x:row>
    <x:row r="428">
      <x:c r="A428" s="20" t="str">
        <x:v>2.3.009</x:v>
      </x:c>
      <x:c r="B428" s="20" t="n">
        <x:v>53</x:v>
      </x:c>
      <x:c r="C428" s="20" t="str">
        <x:v>Part Two</x:v>
      </x:c>
      <x:c r="D428" s="20" t="str">
        <x:v>2.3</x:v>
      </x:c>
      <x:c r="E428" s="20" t="str">
        <x:v>Part Two — Idiosyncratic Simplifications</x:v>
      </x:c>
      <x:c r="F428" s="20" t="str">
        <x:v>65E1
[UNUSED
HJMT]</x:v>
      </x:c>
      <x:c r="G428" s="20" t="str">
        <x:v>旡</x:v>
      </x:c>
      <x:c r="H428" s="20" t="str">
        <x:v>既</x:v>
      </x:c>
      <x:c r="I428" s="20" t="str"/>
      <x:c r="J428" s="20" t="str">
        <x:v>65E2 [TGH
1]</x:v>
      </x:c>
      <x:c r="K428" s="20" t="str"/>
      <x:c r="L428" s="20" t="str">
        <x:v>U+65E1</x:v>
      </x:c>
      <x:c r="M428" s="20" t="str">
        <x:v>CJK Unified Ideographs</x:v>
      </x:c>
      <x:c r="N428" s="20" t="str">
        <x:v>Unicode code point recorded</x:v>
      </x:c>
      <x:c r="O428" s="20" t="str">
        <x:v>Low</x:v>
      </x:c>
      <x:c r="P428" s="20" t="str">
        <x:v>Structured</x:v>
      </x:c>
      <x:c r="Q428" s="20" t="str">
        <x:v>2.3.009 | 65E1 / [UNUSED / HJMT] | 旡 | 既 | 65E2 [TGH / 1] | </x:v>
      </x:c>
      <x:c r="R428" s="20" t="str">
        <x:v>Uploaded: n2924-SecondStageSimplificationStatusv3.pdf</x:v>
      </x:c>
    </x:row>
    <x:row r="429">
      <x:c r="A429" s="20" t="str">
        <x:v>2.3.010</x:v>
      </x:c>
      <x:c r="B429" s="20" t="n">
        <x:v>53</x:v>
      </x:c>
      <x:c r="C429" s="20" t="str">
        <x:v>Part Two</x:v>
      </x:c>
      <x:c r="D429" s="20" t="str">
        <x:v>2.3</x:v>
      </x:c>
      <x:c r="E429" s="20" t="str">
        <x:v>Part Two — Idiosyncratic Simplifications</x:v>
      </x:c>
      <x:c r="F429" s="20" t="str">
        <x:v>757A
[UNUSED
HKP]</x:v>
      </x:c>
      <x:c r="G429" s="20" t="str">
        <x:v>畺</x:v>
      </x:c>
      <x:c r="H429" s="20" t="str">
        <x:v>疆缰</x:v>
      </x:c>
      <x:c r="I429" s="20" t="str"/>
      <x:c r="J429" s="20" t="str">
        <x:v>7586 [TGH
1]
7F30 [TGH
1]</x:v>
      </x:c>
      <x:c r="K429" s="20" t="str"/>
      <x:c r="L429" s="20" t="str">
        <x:v>U+757A</x:v>
      </x:c>
      <x:c r="M429" s="20" t="str">
        <x:v>CJK Unified Ideographs</x:v>
      </x:c>
      <x:c r="N429" s="20" t="str">
        <x:v>Unicode code point recorded</x:v>
      </x:c>
      <x:c r="O429" s="20" t="str">
        <x:v>Low</x:v>
      </x:c>
      <x:c r="P429" s="20" t="str">
        <x:v>Structured</x:v>
      </x:c>
      <x:c r="Q429" s="20" t="str">
        <x:v>2.3.010 | 757A / [UNUSED / HKP] | 畺 | 疆缰 | 7586 [TGH / 1] / 7F30 [TGH / 1] | </x:v>
      </x:c>
      <x:c r="R429" s="20" t="str">
        <x:v>Uploaded: n2924-SecondStageSimplificationStatusv3.pdf</x:v>
      </x:c>
    </x:row>
    <x:row r="430">
      <x:c r="A430" s="20" t="str">
        <x:v>2.3.011</x:v>
      </x:c>
      <x:c r="B430" s="20" t="n">
        <x:v>53</x:v>
      </x:c>
      <x:c r="C430" s="20" t="str">
        <x:v>Part Two</x:v>
      </x:c>
      <x:c r="D430" s="20" t="str">
        <x:v>2.3</x:v>
      </x:c>
      <x:c r="E430" s="20" t="str">
        <x:v>Part Two — Idiosyncratic Simplifications</x:v>
      </x:c>
      <x:c r="F430" s="20" t="str"/>
      <x:c r="G430" s="20" t="str">
        <x:v>解</x:v>
      </x:c>
      <x:c r="H430" s="20" t="str"/>
      <x:c r="I430" s="20" t="str"/>
      <x:c r="J430" s="20" t="str">
        <x:v>89E3 [TGH
1]</x:v>
      </x:c>
      <x:c r="K430" s="20" t="str"/>
      <x:c r="L430" s="20" t="str"/>
      <x:c r="M430" s="20" t="str"/>
      <x:c r="N430" s="20" t="str">
        <x:v>No code-point data extracted — manual review</x:v>
      </x:c>
      <x:c r="O430" s="20" t="str">
        <x:v>Medium</x:v>
      </x:c>
      <x:c r="P430" s="20" t="str">
        <x:v>Structured</x:v>
      </x:c>
      <x:c r="Q430" s="20" t="str">
        <x:v>2.3.011 |  | 解 |  | 89E3 [TGH / 1] | </x:v>
      </x:c>
      <x:c r="R430" s="20" t="str">
        <x:v>Uploaded: n2924-SecondStageSimplificationStatusv3.pdf</x:v>
      </x:c>
    </x:row>
    <x:row r="431">
      <x:c r="A431" s="20" t="str">
        <x:v>2.3.012</x:v>
      </x:c>
      <x:c r="B431" s="20" t="n">
        <x:v>53</x:v>
      </x:c>
      <x:c r="C431" s="20" t="str">
        <x:v>Part Two</x:v>
      </x:c>
      <x:c r="D431" s="20" t="str">
        <x:v>2.3</x:v>
      </x:c>
      <x:c r="E431" s="20" t="str">
        <x:v>Part Two — Idiosyncratic Simplifications</x:v>
      </x:c>
      <x:c r="F431" s="20" t="str"/>
      <x:c r="G431" s="20" t="str">
        <x:v>浸</x:v>
      </x:c>
      <x:c r="H431" s="20" t="str">
        <x:v>解</x:v>
      </x:c>
      <x:c r="I431" s="20" t="str"/>
      <x:c r="J431" s="20" t="str">
        <x:v>6D78 [TGH
1]</x:v>
      </x:c>
      <x:c r="K431" s="20" t="str"/>
      <x:c r="L431" s="20" t="str"/>
      <x:c r="M431" s="20" t="str"/>
      <x:c r="N431" s="20" t="str">
        <x:v>No code-point data extracted — manual review</x:v>
      </x:c>
      <x:c r="O431" s="20" t="str">
        <x:v>Medium</x:v>
      </x:c>
      <x:c r="P431" s="20" t="str">
        <x:v>Structured</x:v>
      </x:c>
      <x:c r="Q431" s="20" t="str">
        <x:v>2.3.012 |  | 浸 | 解 | 6D78 [TGH / 1] | </x:v>
      </x:c>
      <x:c r="R431" s="20" t="str">
        <x:v>Uploaded: n2924-SecondStageSimplificationStatusv3.pdf</x:v>
      </x:c>
    </x:row>
    <x:row r="432">
      <x:c r="A432" s="20" t="str">
        <x:v>2.3.013</x:v>
      </x:c>
      <x:c r="B432" s="20" t="n">
        <x:v>53</x:v>
      </x:c>
      <x:c r="C432" s="20" t="str">
        <x:v>Part Two</x:v>
      </x:c>
      <x:c r="D432" s="20" t="str">
        <x:v>2.3</x:v>
      </x:c>
      <x:c r="E432" s="20" t="str">
        <x:v>Part Two — Idiosyncratic Simplifications</x:v>
      </x:c>
      <x:c r="F432" s="20" t="str"/>
      <x:c r="G432" s="20" t="str">
        <x:v>侵</x:v>
      </x:c>
      <x:c r="H432" s="20" t="str">
        <x:v>浸</x:v>
      </x:c>
      <x:c r="I432" s="20" t="str"/>
      <x:c r="J432" s="20" t="str">
        <x:v>4FB5 [TGH
1]</x:v>
      </x:c>
      <x:c r="K432" s="20" t="str"/>
      <x:c r="L432" s="20" t="str"/>
      <x:c r="M432" s="20" t="str"/>
      <x:c r="N432" s="20" t="str">
        <x:v>No code-point data extracted — manual review</x:v>
      </x:c>
      <x:c r="O432" s="20" t="str">
        <x:v>Medium</x:v>
      </x:c>
      <x:c r="P432" s="20" t="str">
        <x:v>Structured</x:v>
      </x:c>
      <x:c r="Q432" s="20" t="str">
        <x:v>2.3.013 |  | 侵 | 浸 | 4FB5 [TGH / 1] | </x:v>
      </x:c>
      <x:c r="R432" s="20" t="str">
        <x:v>Uploaded: n2924-SecondStageSimplificationStatusv3.pdf</x:v>
      </x:c>
    </x:row>
    <x:row r="433">
      <x:c r="A433" s="20" t="str">
        <x:v>2.3.014</x:v>
      </x:c>
      <x:c r="B433" s="20" t="n">
        <x:v>53</x:v>
      </x:c>
      <x:c r="C433" s="20" t="str">
        <x:v>Part Two</x:v>
      </x:c>
      <x:c r="D433" s="20" t="str">
        <x:v>2.3</x:v>
      </x:c>
      <x:c r="E433" s="20" t="str">
        <x:v>Part Two — Idiosyncratic Simplifications</x:v>
      </x:c>
      <x:c r="F433" s="20" t="str">
        <x:v>530A
[UNUSED
HMT]</x:v>
      </x:c>
      <x:c r="G433" s="20" t="str">
        <x:v>匊</x:v>
      </x:c>
      <x:c r="H433" s="20" t="str">
        <x:v>侵
鞠掬</x:v>
      </x:c>
      <x:c r="I433" s="20" t="str"/>
      <x:c r="J433" s="20" t="str">
        <x:v>97A0 [TGH
1]
63AC [TGH
2]</x:v>
      </x:c>
      <x:c r="K433" s="20" t="str"/>
      <x:c r="L433" s="20" t="str">
        <x:v>U+530A</x:v>
      </x:c>
      <x:c r="M433" s="20" t="str">
        <x:v>CJK Unified Ideographs</x:v>
      </x:c>
      <x:c r="N433" s="20" t="str">
        <x:v>Unicode code point recorded</x:v>
      </x:c>
      <x:c r="O433" s="20" t="str">
        <x:v>Low</x:v>
      </x:c>
      <x:c r="P433" s="20" t="str">
        <x:v>Structured</x:v>
      </x:c>
      <x:c r="Q433" s="20" t="str">
        <x:v>2.3.014 | 530A / [UNUSED / HMT] | 匊 | 侵 / 鞠掬 | 97A0 [TGH / 1] / 63AC [TGH / 2] | </x:v>
      </x:c>
      <x:c r="R433" s="20" t="str">
        <x:v>Uploaded: n2924-SecondStageSimplificationStatusv3.pdf</x:v>
      </x:c>
    </x:row>
    <x:row r="434">
      <x:c r="A434" s="20" t="str">
        <x:v>2.3.015</x:v>
      </x:c>
      <x:c r="B434" s="20" t="n">
        <x:v>53</x:v>
      </x:c>
      <x:c r="C434" s="20" t="str">
        <x:v>Part Two</x:v>
      </x:c>
      <x:c r="D434" s="20" t="str">
        <x:v>2.3</x:v>
      </x:c>
      <x:c r="E434" s="20" t="str">
        <x:v>Part Two — Idiosyncratic Simplifications</x:v>
      </x:c>
      <x:c r="F434" s="20" t="str">
        <x:v>53BD
[UNUSED]</x:v>
      </x:c>
      <x:c r="G434" s="20" t="str">
        <x:v>厽</x:v>
      </x:c>
      <x:c r="H434" s="20" t="str">
        <x:v>垒儡</x:v>
      </x:c>
      <x:c r="I434" s="20" t="str"/>
      <x:c r="J434" s="20" t="str">
        <x:v>5792 [TGH
1]
5121 [TGH
2]</x:v>
      </x:c>
      <x:c r="K434" s="20" t="str"/>
      <x:c r="L434" s="20" t="str">
        <x:v>U+53BD</x:v>
      </x:c>
      <x:c r="M434" s="20" t="str">
        <x:v>CJK Unified Ideographs</x:v>
      </x:c>
      <x:c r="N434" s="20" t="str">
        <x:v>Unicode code point recorded</x:v>
      </x:c>
      <x:c r="O434" s="20" t="str">
        <x:v>Low</x:v>
      </x:c>
      <x:c r="P434" s="20" t="str">
        <x:v>Structured</x:v>
      </x:c>
      <x:c r="Q434" s="20" t="str">
        <x:v>2.3.015 | 53BD / [UNUSED] | 厽 | 垒儡 | 5792 [TGH / 1] / 5121 [TGH / 2] | </x:v>
      </x:c>
      <x:c r="R434" s="20" t="str">
        <x:v>Uploaded: n2924-SecondStageSimplificationStatusv3.pdf</x:v>
      </x:c>
    </x:row>
    <x:row r="435">
      <x:c r="A435" s="20" t="str">
        <x:v>2.3.016</x:v>
      </x:c>
      <x:c r="B435" s="20" t="n">
        <x:v>53</x:v>
      </x:c>
      <x:c r="C435" s="20" t="str">
        <x:v>Part Two</x:v>
      </x:c>
      <x:c r="D435" s="20" t="str">
        <x:v>2.3</x:v>
      </x:c>
      <x:c r="E435" s="20" t="str">
        <x:v>Part Two — Idiosyncratic Simplifications</x:v>
      </x:c>
      <x:c r="F435" s="20" t="str"/>
      <x:c r="G435" s="20" t="str">
        <x:v>漏</x:v>
      </x:c>
      <x:c r="H435" s="20" t="str">
        <x:v>漏</x:v>
      </x:c>
      <x:c r="I435" s="20" t="str"/>
      <x:c r="J435" s="20" t="str">
        <x:v>6F0F [TGH
1]</x:v>
      </x:c>
      <x:c r="K435" s="20" t="str">
        <x:v>This is 屚
U+5C5A
submitted
to 2.8.015</x:v>
      </x:c>
      <x:c r="L435" s="20" t="str"/>
      <x:c r="M435" s="20" t="str"/>
      <x:c r="N435" s="20" t="str">
        <x:v>No code-point data extracted — manual review</x:v>
      </x:c>
      <x:c r="O435" s="20" t="str">
        <x:v>Medium</x:v>
      </x:c>
      <x:c r="P435" s="20" t="str">
        <x:v>Structured</x:v>
      </x:c>
      <x:c r="Q435" s="20" t="str">
        <x:v>2.3.016 |  | 漏 | 漏 | 6F0F [TGH / 1] | This is 屚 / U+5C5A / submitted / to 2.8.015</x:v>
      </x:c>
      <x:c r="R435" s="20" t="str">
        <x:v>Uploaded: n2924-SecondStageSimplificationStatusv3.pdf</x:v>
      </x:c>
    </x:row>
    <x:row r="436">
      <x:c r="A436" s="20" t="str">
        <x:v>2.3.017</x:v>
      </x:c>
      <x:c r="B436" s="20" t="n">
        <x:v>53</x:v>
      </x:c>
      <x:c r="C436" s="20" t="str">
        <x:v>Part Two</x:v>
      </x:c>
      <x:c r="D436" s="20" t="str">
        <x:v>2.3</x:v>
      </x:c>
      <x:c r="E436" s="20" t="str">
        <x:v>Part Two — Idiosyncratic Simplifications</x:v>
      </x:c>
      <x:c r="F436" s="20" t="str">
        <x:v>6BB3 [TGH
3]</x:v>
      </x:c>
      <x:c r="G436" s="20" t="str"/>
      <x:c r="H436" s="20" t="str"/>
      <x:c r="I436" s="20" t="str"/>
      <x:c r="J436" s="20" t="str">
        <x:v>6CA1 [TGH
1]</x:v>
      </x:c>
      <x:c r="K436" s="20" t="str"/>
      <x:c r="L436" s="20" t="str">
        <x:v>U+6BB3</x:v>
      </x:c>
      <x:c r="M436" s="20" t="str">
        <x:v>CJK Unified Ideographs</x:v>
      </x:c>
      <x:c r="N436" s="20" t="str">
        <x:v>Unicode code point recorded</x:v>
      </x:c>
      <x:c r="O436" s="20" t="str">
        <x:v>Low</x:v>
      </x:c>
      <x:c r="P436" s="20" t="str">
        <x:v>Structured</x:v>
      </x:c>
      <x:c r="Q436" s="20" t="str">
        <x:v>2.3.017 | 6BB3 [TGH / 3] |  |  | 6CA1 [TGH / 1] | </x:v>
      </x:c>
      <x:c r="R436" s="20" t="str">
        <x:v>Uploaded: n2924-SecondStageSimplificationStatusv3.pdf</x:v>
      </x:c>
    </x:row>
    <x:row r="437">
      <x:c r="A437" s="20" t="str">
        <x:v>2.3.018</x:v>
      </x:c>
      <x:c r="B437" s="20" t="n">
        <x:v>53</x:v>
      </x:c>
      <x:c r="C437" s="20" t="str">
        <x:v>Part Two</x:v>
      </x:c>
      <x:c r="D437" s="20" t="str">
        <x:v>2.3</x:v>
      </x:c>
      <x:c r="E437" s="20" t="str">
        <x:v>Part Two — Idiosyncratic Simplifications</x:v>
      </x:c>
      <x:c r="F437" s="20" t="str">
        <x:v>5736
[UNUSED]</x:v>
      </x:c>
      <x:c r="G437" s="20" t="str">
        <x:v>殳</x:v>
      </x:c>
      <x:c r="H437" s="20" t="str">
        <x:v>没</x:v>
      </x:c>
      <x:c r="I437" s="20" t="str"/>
      <x:c r="J437" s="20" t="str">
        <x:v>5893 [TGH
1]</x:v>
      </x:c>
      <x:c r="K437" s="20" t="str"/>
      <x:c r="L437" s="20" t="str">
        <x:v>U+5736</x:v>
      </x:c>
      <x:c r="M437" s="20" t="str">
        <x:v>CJK Unified Ideographs</x:v>
      </x:c>
      <x:c r="N437" s="20" t="str">
        <x:v>Unicode code point recorded</x:v>
      </x:c>
      <x:c r="O437" s="20" t="str">
        <x:v>Low</x:v>
      </x:c>
      <x:c r="P437" s="20" t="str">
        <x:v>Structured</x:v>
      </x:c>
      <x:c r="Q437" s="20" t="str">
        <x:v>2.3.018 | 5736 / [UNUSED] | 殳 | 没 | 5893 [TGH / 1] | </x:v>
      </x:c>
      <x:c r="R437" s="20" t="str">
        <x:v>Uploaded: n2924-SecondStageSimplificationStatusv3.pdf</x:v>
      </x:c>
    </x:row>
    <x:row r="438">
      <x:c r="A438" s="20" t="str">
        <x:v>2.3.019</x:v>
      </x:c>
      <x:c r="B438" s="20" t="n">
        <x:v>53</x:v>
      </x:c>
      <x:c r="C438" s="20" t="str">
        <x:v>Part Two</x:v>
      </x:c>
      <x:c r="D438" s="20" t="str">
        <x:v>2.3</x:v>
      </x:c>
      <x:c r="E438" s="20" t="str">
        <x:v>Part Two — Idiosyncratic Simplifications</x:v>
      </x:c>
      <x:c r="F438" s="20" t="str">
        <x:v>342B
[UNUSED]</x:v>
      </x:c>
      <x:c r="G438" s="20" t="str">
        <x:v>圶
㐫</x:v>
      </x:c>
      <x:c r="H438" s="20" t="str">
        <x:v>墓
脑瑙
碯堖</x:v>
      </x:c>
      <x:c r="I438" s="20" t="str"/>
      <x:c r="J438" s="20" t="str">
        <x:v>8111 [TGH
1]
7459 [TGH
1]
78AF
[UNUSED HJ]</x:v>
      </x:c>
      <x:c r="K438" s="20" t="str"/>
      <x:c r="L438" s="20" t="str">
        <x:v>U+342B</x:v>
      </x:c>
      <x:c r="M438" s="20" t="str">
        <x:v>CJK Unified Ideographs Extension A</x:v>
      </x:c>
      <x:c r="N438" s="20" t="str">
        <x:v>Unicode code point recorded</x:v>
      </x:c>
      <x:c r="O438" s="20" t="str">
        <x:v>Low</x:v>
      </x:c>
      <x:c r="P438" s="20" t="str">
        <x:v>Structured</x:v>
      </x:c>
      <x:c r="Q438" s="20" t="str">
        <x:v>2.3.019 | 342B / [UNUSED] | 圶 / 㐫 | 墓 / 脑瑙 / 碯堖 | 8111 [TGH / 1] / 7459 [TGH / 1] / 78AF / [UNUSED HJ] | </x:v>
      </x:c>
      <x:c r="R438" s="20" t="str">
        <x:v>Uploaded: n2924-SecondStageSimplificationStatusv3.pdf</x:v>
      </x:c>
    </x:row>
    <x:row r="439">
      <x:c r="A439" s="20" t="str">
        <x:v>2.3.020</x:v>
      </x:c>
      <x:c r="B439" s="20" t="n">
        <x:v>54</x:v>
      </x:c>
      <x:c r="C439" s="20" t="str">
        <x:v>Part Two</x:v>
      </x:c>
      <x:c r="D439" s="20" t="str">
        <x:v>2.3</x:v>
      </x:c>
      <x:c r="E439" s="20" t="str">
        <x:v>Part Two — Idiosyncratic Simplifications</x:v>
      </x:c>
      <x:c r="F439" s="20" t="str"/>
      <x:c r="G439" s="20" t="str">
        <x:v>能</x:v>
      </x:c>
      <x:c r="H439" s="20" t="str"/>
      <x:c r="I439" s="20" t="str"/>
      <x:c r="J439" s="20" t="str">
        <x:v>80FD [TGH
1]</x:v>
      </x:c>
      <x:c r="K439" s="20" t="str"/>
      <x:c r="L439" s="20" t="str"/>
      <x:c r="M439" s="20" t="str"/>
      <x:c r="N439" s="20" t="str">
        <x:v>No code-point data extracted — manual review</x:v>
      </x:c>
      <x:c r="O439" s="20" t="str">
        <x:v>Medium</x:v>
      </x:c>
      <x:c r="P439" s="20" t="str">
        <x:v>Structured</x:v>
      </x:c>
      <x:c r="Q439" s="20" t="str">
        <x:v>2.3.020 |  | 能 |  | 80FD [TGH / 1] | </x:v>
      </x:c>
      <x:c r="R439" s="20" t="str">
        <x:v>Uploaded: n2924-SecondStageSimplificationStatusv3.pdf</x:v>
      </x:c>
    </x:row>
    <x:row r="440">
      <x:c r="A440" s="20" t="str">
        <x:v>2.3.021</x:v>
      </x:c>
      <x:c r="B440" s="20" t="n">
        <x:v>54</x:v>
      </x:c>
      <x:c r="C440" s="20" t="str">
        <x:v>Part Two</x:v>
      </x:c>
      <x:c r="D440" s="20" t="str">
        <x:v>2.3</x:v>
      </x:c>
      <x:c r="E440" s="20" t="str">
        <x:v>Part Two — Idiosyncratic Simplifications</x:v>
      </x:c>
      <x:c r="F440" s="20" t="str"/>
      <x:c r="G440" s="20" t="str">
        <x:v>攀</x:v>
      </x:c>
      <x:c r="H440" s="20" t="str">
        <x:v>能</x:v>
      </x:c>
      <x:c r="I440" s="20" t="str"/>
      <x:c r="J440" s="20" t="str">
        <x:v>6500 [TGH
1]</x:v>
      </x:c>
      <x:c r="K440" s="20" t="str"/>
      <x:c r="L440" s="20" t="str"/>
      <x:c r="M440" s="20" t="str"/>
      <x:c r="N440" s="20" t="str">
        <x:v>No code-point data extracted — manual review</x:v>
      </x:c>
      <x:c r="O440" s="20" t="str">
        <x:v>Medium</x:v>
      </x:c>
      <x:c r="P440" s="20" t="str">
        <x:v>Structured</x:v>
      </x:c>
      <x:c r="Q440" s="20" t="str">
        <x:v>2.3.021 |  | 攀 | 能 | 6500 [TGH / 1] | </x:v>
      </x:c>
      <x:c r="R440" s="20" t="str">
        <x:v>Uploaded: n2924-SecondStageSimplificationStatusv3.pdf</x:v>
      </x:c>
    </x:row>
    <x:row r="441">
      <x:c r="A441" s="20" t="str">
        <x:v>2.3.022</x:v>
      </x:c>
      <x:c r="B441" s="20" t="n">
        <x:v>54</x:v>
      </x:c>
      <x:c r="C441" s="20" t="str">
        <x:v>Part Two</x:v>
      </x:c>
      <x:c r="D441" s="20" t="str">
        <x:v>2.3</x:v>
      </x:c>
      <x:c r="E441" s="20" t="str">
        <x:v>Part Two — Idiosyncratic Simplifications</x:v>
      </x:c>
      <x:c r="F441" s="20" t="str">
        <x:v>592C [TGH
2]</x:v>
      </x:c>
      <x:c r="G441" s="20" t="str"/>
      <x:c r="H441" s="20" t="str">
        <x:v>攀</x:v>
      </x:c>
      <x:c r="I441" s="20" t="str"/>
      <x:c r="J441" s="20" t="str">
        <x:v>7F3A [TGH
1]</x:v>
      </x:c>
      <x:c r="K441" s="20" t="str"/>
      <x:c r="L441" s="20" t="str">
        <x:v>U+592C</x:v>
      </x:c>
      <x:c r="M441" s="20" t="str">
        <x:v>CJK Unified Ideographs</x:v>
      </x:c>
      <x:c r="N441" s="20" t="str">
        <x:v>Unicode code point recorded</x:v>
      </x:c>
      <x:c r="O441" s="20" t="str">
        <x:v>Low</x:v>
      </x:c>
      <x:c r="P441" s="20" t="str">
        <x:v>Structured</x:v>
      </x:c>
      <x:c r="Q441" s="20" t="str">
        <x:v>2.3.022 | 592C [TGH / 2] |  | 攀 | 7F3A [TGH / 1] | </x:v>
      </x:c>
      <x:c r="R441" s="20" t="str">
        <x:v>Uploaded: n2924-SecondStageSimplificationStatusv3.pdf</x:v>
      </x:c>
    </x:row>
    <x:row r="442">
      <x:c r="A442" s="20" t="str">
        <x:v>2.3.023</x:v>
      </x:c>
      <x:c r="B442" s="20" t="n">
        <x:v>54</x:v>
      </x:c>
      <x:c r="C442" s="20" t="str">
        <x:v>Part Two</x:v>
      </x:c>
      <x:c r="D442" s="20" t="str">
        <x:v>2.3</x:v>
      </x:c>
      <x:c r="E442" s="20" t="str">
        <x:v>Part Two — Idiosyncratic Simplifications</x:v>
      </x:c>
      <x:c r="F442" s="20" t="str"/>
      <x:c r="G442" s="20" t="str">
        <x:v>夬
然</x:v>
      </x:c>
      <x:c r="H442" s="20" t="str">
        <x:v>缺</x:v>
      </x:c>
      <x:c r="I442" s="20" t="str"/>
      <x:c r="J442" s="20" t="str">
        <x:v>7136 [TGH
1]</x:v>
      </x:c>
      <x:c r="K442" s="20" t="str"/>
      <x:c r="L442" s="20" t="str"/>
      <x:c r="M442" s="20" t="str"/>
      <x:c r="N442" s="20" t="str">
        <x:v>No code-point data extracted — manual review</x:v>
      </x:c>
      <x:c r="O442" s="20" t="str">
        <x:v>Medium</x:v>
      </x:c>
      <x:c r="P442" s="20" t="str">
        <x:v>Structured</x:v>
      </x:c>
      <x:c r="Q442" s="20" t="str">
        <x:v>2.3.023 |  | 夬 / 然 | 缺 | 7136 [TGH / 1] | </x:v>
      </x:c>
      <x:c r="R442" s="20" t="str">
        <x:v>Uploaded: n2924-SecondStageSimplificationStatusv3.pdf</x:v>
      </x:c>
    </x:row>
    <x:row r="443">
      <x:c r="A443" s="20" t="str">
        <x:v>2.3.024</x:v>
      </x:c>
      <x:c r="B443" s="20" t="n">
        <x:v>54</x:v>
      </x:c>
      <x:c r="C443" s="20" t="str">
        <x:v>Part Two</x:v>
      </x:c>
      <x:c r="D443" s="20" t="str">
        <x:v>2.3</x:v>
      </x:c>
      <x:c r="E443" s="20" t="str">
        <x:v>Part Two — Idiosyncratic Simplifications</x:v>
      </x:c>
      <x:c r="F443" s="20" t="str"/>
      <x:c r="G443" s="20" t="str">
        <x:v>弱</x:v>
      </x:c>
      <x:c r="H443" s="20" t="str">
        <x:v>然</x:v>
      </x:c>
      <x:c r="I443" s="20" t="str"/>
      <x:c r="J443" s="20" t="str">
        <x:v>5F31 [TGH
1]</x:v>
      </x:c>
      <x:c r="K443" s="20" t="str"/>
      <x:c r="L443" s="20" t="str"/>
      <x:c r="M443" s="20" t="str"/>
      <x:c r="N443" s="20" t="str">
        <x:v>No code-point data extracted — manual review</x:v>
      </x:c>
      <x:c r="O443" s="20" t="str">
        <x:v>Medium</x:v>
      </x:c>
      <x:c r="P443" s="20" t="str">
        <x:v>Structured</x:v>
      </x:c>
      <x:c r="Q443" s="20" t="str">
        <x:v>2.3.024 |  | 弱 | 然 | 5F31 [TGH / 1] | </x:v>
      </x:c>
      <x:c r="R443" s="20" t="str">
        <x:v>Uploaded: n2924-SecondStageSimplificationStatusv3.pdf</x:v>
      </x:c>
    </x:row>
    <x:row r="444">
      <x:c r="A444" s="20" t="str">
        <x:v>2.3.025</x:v>
      </x:c>
      <x:c r="B444" s="20" t="n">
        <x:v>54</x:v>
      </x:c>
      <x:c r="C444" s="20" t="str">
        <x:v>Part Two</x:v>
      </x:c>
      <x:c r="D444" s="20" t="str">
        <x:v>2.3</x:v>
      </x:c>
      <x:c r="E444" s="20" t="str">
        <x:v>Part Two — Idiosyncratic Simplifications</x:v>
      </x:c>
      <x:c r="F444" s="20" t="str"/>
      <x:c r="G444" s="20" t="str">
        <x:v>熟</x:v>
      </x:c>
      <x:c r="H444" s="20" t="str">
        <x:v>弱</x:v>
      </x:c>
      <x:c r="I444" s="20" t="str"/>
      <x:c r="J444" s="20" t="str">
        <x:v>719F [TGH
1]</x:v>
      </x:c>
      <x:c r="K444" s="20" t="str"/>
      <x:c r="L444" s="20" t="str"/>
      <x:c r="M444" s="20" t="str"/>
      <x:c r="N444" s="20" t="str">
        <x:v>No code-point data extracted — manual review</x:v>
      </x:c>
      <x:c r="O444" s="20" t="str">
        <x:v>Medium</x:v>
      </x:c>
      <x:c r="P444" s="20" t="str">
        <x:v>Structured</x:v>
      </x:c>
      <x:c r="Q444" s="20" t="str">
        <x:v>2.3.025 |  | 熟 | 弱 | 719F [TGH / 1] | </x:v>
      </x:c>
      <x:c r="R444" s="20" t="str">
        <x:v>Uploaded: n2924-SecondStageSimplificationStatusv3.pdf</x:v>
      </x:c>
    </x:row>
    <x:row r="445">
      <x:c r="A445" s="20" t="str">
        <x:v>2.3.026</x:v>
      </x:c>
      <x:c r="B445" s="20" t="n">
        <x:v>54</x:v>
      </x:c>
      <x:c r="C445" s="20" t="str">
        <x:v>Part Two</x:v>
      </x:c>
      <x:c r="D445" s="20" t="str">
        <x:v>2.3</x:v>
      </x:c>
      <x:c r="E445" s="20" t="str">
        <x:v>Part Two — Idiosyncratic Simplifications</x:v>
      </x:c>
      <x:c r="F445" s="20" t="str"/>
      <x:c r="G445" s="20" t="str">
        <x:v>数</x:v>
      </x:c>
      <x:c r="H445" s="20" t="str">
        <x:v>熟</x:v>
      </x:c>
      <x:c r="I445" s="20" t="str"/>
      <x:c r="J445" s="20" t="str">
        <x:v>6570 [TGH
1]</x:v>
      </x:c>
      <x:c r="K445" s="20" t="str"/>
      <x:c r="L445" s="20" t="str"/>
      <x:c r="M445" s="20" t="str"/>
      <x:c r="N445" s="20" t="str">
        <x:v>No code-point data extracted — manual review</x:v>
      </x:c>
      <x:c r="O445" s="20" t="str">
        <x:v>Medium</x:v>
      </x:c>
      <x:c r="P445" s="20" t="str">
        <x:v>Structured</x:v>
      </x:c>
      <x:c r="Q445" s="20" t="str">
        <x:v>2.3.026 |  | 数 | 熟 | 6570 [TGH / 1] | </x:v>
      </x:c>
      <x:c r="R445" s="20" t="str">
        <x:v>Uploaded: n2924-SecondStageSimplificationStatusv3.pdf</x:v>
      </x:c>
    </x:row>
    <x:row r="446">
      <x:c r="A446" s="20" t="str">
        <x:v>2.3.027</x:v>
      </x:c>
      <x:c r="B446" s="20" t="n">
        <x:v>54</x:v>
      </x:c>
      <x:c r="C446" s="20" t="str">
        <x:v>Part Two</x:v>
      </x:c>
      <x:c r="D446" s="20" t="str">
        <x:v>2.3</x:v>
      </x:c>
      <x:c r="E446" s="20" t="str">
        <x:v>Part Two — Idiosyncratic Simplifications</x:v>
      </x:c>
      <x:c r="F446" s="20" t="str">
        <x:v>590B
[UNUSED]</x:v>
      </x:c>
      <x:c r="G446" s="20" t="str">
        <x:v>夋</x:v>
      </x:c>
      <x:c r="H446" s="20" t="str">
        <x:v>数
酸痠</x:v>
      </x:c>
      <x:c r="I446" s="20" t="str"/>
      <x:c r="J446" s="20" t="str">
        <x:v>9178 [TGH
1]
75E0
[UNUSED
HMT]</x:v>
      </x:c>
      <x:c r="K446" s="20" t="str"/>
      <x:c r="L446" s="20" t="str">
        <x:v>U+590B</x:v>
      </x:c>
      <x:c r="M446" s="20" t="str">
        <x:v>CJK Unified Ideographs</x:v>
      </x:c>
      <x:c r="N446" s="20" t="str">
        <x:v>Unicode code point recorded</x:v>
      </x:c>
      <x:c r="O446" s="20" t="str">
        <x:v>Low</x:v>
      </x:c>
      <x:c r="P446" s="20" t="str">
        <x:v>Structured</x:v>
      </x:c>
      <x:c r="Q446" s="20" t="str">
        <x:v>2.3.027 | 590B / [UNUSED] | 夋 | 数 / 酸痠 | 9178 [TGH / 1] / 75E0 / [UNUSED / HMT] | </x:v>
      </x:c>
      <x:c r="R446" s="20" t="str">
        <x:v>Uploaded: n2924-SecondStageSimplificationStatusv3.pdf</x:v>
      </x:c>
    </x:row>
    <x:row r="447">
      <x:c r="A447" s="20" t="str">
        <x:v>2.3.028</x:v>
      </x:c>
      <x:c r="B447" s="20" t="n">
        <x:v>54</x:v>
      </x:c>
      <x:c r="C447" s="20" t="str">
        <x:v>Part Two</x:v>
      </x:c>
      <x:c r="D447" s="20" t="str">
        <x:v>2.3</x:v>
      </x:c>
      <x:c r="E447" s="20" t="str">
        <x:v>Part Two — Idiosyncratic Simplifications</x:v>
      </x:c>
      <x:c r="F447" s="20" t="str"/>
      <x:c r="G447" s="20" t="str">
        <x:v>滕</x:v>
      </x:c>
      <x:c r="H447" s="20" t="str">
        <x:v>滕藤</x:v>
      </x:c>
      <x:c r="I447" s="20" t="str"/>
      <x:c r="J447" s="20" t="str">
        <x:v>6ED5 [TGH
2]
85E4 [TGH
1]</x:v>
      </x:c>
      <x:c r="K447" s="20" t="str"/>
      <x:c r="L447" s="20" t="str"/>
      <x:c r="M447" s="20" t="str"/>
      <x:c r="N447" s="20" t="str">
        <x:v>No code-point data extracted — manual review</x:v>
      </x:c>
      <x:c r="O447" s="20" t="str">
        <x:v>Medium</x:v>
      </x:c>
      <x:c r="P447" s="20" t="str">
        <x:v>Structured</x:v>
      </x:c>
      <x:c r="Q447" s="20" t="str">
        <x:v>2.3.028 |  | 滕 | 滕藤 | 6ED5 [TGH / 2] / 85E4 [TGH / 1] | </x:v>
      </x:c>
      <x:c r="R447" s="20" t="str">
        <x:v>Uploaded: n2924-SecondStageSimplificationStatusv3.pdf</x:v>
      </x:c>
    </x:row>
    <x:row r="448">
      <x:c r="A448" s="20" t="str">
        <x:v>2.3.029</x:v>
      </x:c>
      <x:c r="B448" s="20" t="n">
        <x:v>54</x:v>
      </x:c>
      <x:c r="C448" s="20" t="str">
        <x:v>Part Two</x:v>
      </x:c>
      <x:c r="D448" s="20" t="str">
        <x:v>2.3</x:v>
      </x:c>
      <x:c r="E448" s="20" t="str">
        <x:v>Part Two — Idiosyncratic Simplifications</x:v>
      </x:c>
      <x:c r="F448" s="20" t="str">
        <x:v>21D49
[UNUSED]</x:v>
      </x:c>
      <x:c r="G448" s="20" t="str">
        <x:v>𡵉𡵉</x:v>
      </x:c>
      <x:c r="H448" s="20" t="str"/>
      <x:c r="I448" s="20" t="str"/>
      <x:c r="J448" s="20" t="str">
        <x:v>5FAE [TGH
1]</x:v>
      </x:c>
      <x:c r="K448" s="20" t="str"/>
      <x:c r="L448" s="20" t="str">
        <x:v>U+21D49</x:v>
      </x:c>
      <x:c r="M448" s="20" t="str">
        <x:v>CJK Unified Ideographs Extension B</x:v>
      </x:c>
      <x:c r="N448" s="20" t="str">
        <x:v>Unicode code point recorded</x:v>
      </x:c>
      <x:c r="O448" s="20" t="str">
        <x:v>Low</x:v>
      </x:c>
      <x:c r="P448" s="20" t="str">
        <x:v>Structured</x:v>
      </x:c>
      <x:c r="Q448" s="20" t="str">
        <x:v>2.3.029 | 21D49 / [UNUSED] | 𡵉𡵉 |  | 5FAE [TGH / 1] | </x:v>
      </x:c>
      <x:c r="R448" s="20" t="str">
        <x:v>Uploaded: n2924-SecondStageSimplificationStatusv3.pdf</x:v>
      </x:c>
    </x:row>
    <x:row r="449">
      <x:c r="A449" s="20" t="str">
        <x:v>2.3.030</x:v>
      </x:c>
      <x:c r="B449" s="20" t="n">
        <x:v>54</x:v>
      </x:c>
      <x:c r="C449" s="20" t="str">
        <x:v>Part Two</x:v>
      </x:c>
      <x:c r="D449" s="20" t="str">
        <x:v>2.3</x:v>
      </x:c>
      <x:c r="E449" s="20" t="str">
        <x:v>Part Two — Idiosyncratic Simplifications</x:v>
      </x:c>
      <x:c r="F449" s="20" t="str">
        <x:v>5459 [TGH
3]</x:v>
      </x:c>
      <x:c r="G449" s="20" t="str">
        <x:v>呙</x:v>
      </x:c>
      <x:c r="H449" s="20" t="str">
        <x:v>微
涡娲
窝莴</x:v>
      </x:c>
      <x:c r="I449" s="20" t="str"/>
      <x:c r="J449" s="20" t="str">
        <x:v>6DA1 [TGH
1]
5A32 [TGH
2]
7A9D [TGH
1]</x:v>
      </x:c>
      <x:c r="K449" s="20" t="str"/>
      <x:c r="L449" s="20" t="str">
        <x:v>U+5459</x:v>
      </x:c>
      <x:c r="M449" s="20" t="str">
        <x:v>CJK Unified Ideographs</x:v>
      </x:c>
      <x:c r="N449" s="20" t="str">
        <x:v>Unicode code point recorded</x:v>
      </x:c>
      <x:c r="O449" s="20" t="str">
        <x:v>Low</x:v>
      </x:c>
      <x:c r="P449" s="20" t="str">
        <x:v>Structured</x:v>
      </x:c>
      <x:c r="Q449" s="20" t="str">
        <x:v>2.3.030 | 5459 [TGH / 3] | 呙 | 微 / 涡娲 / 窝莴 | 6DA1 [TGH / 1] / 5A32 [TGH / 2] / 7A9D [TGH / 1] | </x:v>
      </x:c>
      <x:c r="R449" s="20" t="str">
        <x:v>Uploaded: n2924-SecondStageSimplificationStatusv3.pdf</x:v>
      </x:c>
    </x:row>
    <x:row r="450">
      <x:c r="A450" s="20" t="str">
        <x:v>2.3.031</x:v>
      </x:c>
      <x:c r="B450" s="20" t="n">
        <x:v>55</x:v>
      </x:c>
      <x:c r="C450" s="20" t="str">
        <x:v>Part Two</x:v>
      </x:c>
      <x:c r="D450" s="20" t="str">
        <x:v>2.3</x:v>
      </x:c>
      <x:c r="E450" s="20" t="str">
        <x:v>Part Two — Idiosyncratic Simplifications</x:v>
      </x:c>
      <x:c r="F450" s="20" t="str"/>
      <x:c r="G450" s="20" t="str">
        <x:v>象</x:v>
      </x:c>
      <x:c r="H450" s="20" t="str"/>
      <x:c r="I450" s="20" t="str"/>
      <x:c r="J450" s="20" t="str">
        <x:v>8C61 [TGH
1]</x:v>
      </x:c>
      <x:c r="K450" s="20" t="str"/>
      <x:c r="L450" s="20" t="str"/>
      <x:c r="M450" s="20" t="str"/>
      <x:c r="N450" s="20" t="str">
        <x:v>No code-point data extracted — manual review</x:v>
      </x:c>
      <x:c r="O450" s="20" t="str">
        <x:v>Medium</x:v>
      </x:c>
      <x:c r="P450" s="20" t="str">
        <x:v>Structured</x:v>
      </x:c>
      <x:c r="Q450" s="20" t="str">
        <x:v>2.3.031 |  | 象 |  | 8C61 [TGH / 1] | </x:v>
      </x:c>
      <x:c r="R450" s="20" t="str">
        <x:v>Uploaded: n2924-SecondStageSimplificationStatusv3.pdf</x:v>
      </x:c>
    </x:row>
    <x:row r="451">
      <x:c r="A451" s="20" t="str">
        <x:v>2.3.032</x:v>
      </x:c>
      <x:c r="B451" s="20" t="n">
        <x:v>55</x:v>
      </x:c>
      <x:c r="C451" s="20" t="str">
        <x:v>Part Two</x:v>
      </x:c>
      <x:c r="D451" s="20" t="str">
        <x:v>2.3</x:v>
      </x:c>
      <x:c r="E451" s="20" t="str">
        <x:v>Part Two — Idiosyncratic Simplifications</x:v>
      </x:c>
      <x:c r="F451" s="20" t="str"/>
      <x:c r="G451" s="20" t="str">
        <x:v>旋</x:v>
      </x:c>
      <x:c r="H451" s="20" t="str">
        <x:v>象
旋漩</x:v>
      </x:c>
      <x:c r="I451" s="20" t="str"/>
      <x:c r="J451" s="20" t="str">
        <x:v>65CB [TGH
1]
6F29 [TGH
2]</x:v>
      </x:c>
      <x:c r="K451" s="20" t="str"/>
      <x:c r="L451" s="20" t="str"/>
      <x:c r="M451" s="20" t="str"/>
      <x:c r="N451" s="20" t="str">
        <x:v>No code-point data extracted — manual review</x:v>
      </x:c>
      <x:c r="O451" s="20" t="str">
        <x:v>Medium</x:v>
      </x:c>
      <x:c r="P451" s="20" t="str">
        <x:v>Structured</x:v>
      </x:c>
      <x:c r="Q451" s="20" t="str">
        <x:v>2.3.032 |  | 旋 | 象 / 旋漩 | 65CB [TGH / 1] / 6F29 [TGH / 2] | </x:v>
      </x:c>
      <x:c r="R451" s="20" t="str">
        <x:v>Uploaded: n2924-SecondStageSimplificationStatusv3.pdf</x:v>
      </x:c>
    </x:row>
    <x:row r="452">
      <x:c r="A452" s="20" t="str">
        <x:v>2.4.001</x:v>
      </x:c>
      <x:c r="B452" s="20" t="n">
        <x:v>55</x:v>
      </x:c>
      <x:c r="C452" s="20" t="str">
        <x:v>Part Two</x:v>
      </x:c>
      <x:c r="D452" s="20" t="str">
        <x:v>2.4</x:v>
      </x:c>
      <x:c r="E452" s="20" t="str">
        <x:v>Part Two — Outline Simplifications</x:v>
      </x:c>
      <x:c r="F452" s="20" t="str">
        <x:v>2727E
[UNUSED]</x:v>
      </x:c>
      <x:c r="G452" s="20" t="str">
        <x:v>𧉾𧉾</x:v>
      </x:c>
      <x:c r="H452" s="20" t="str">
        <x:v>蠢</x:v>
      </x:c>
      <x:c r="I452" s="20" t="str"/>
      <x:c r="J452" s="20" t="str">
        <x:v>8822 [TGH
1]</x:v>
      </x:c>
      <x:c r="K452" s="20" t="str"/>
      <x:c r="L452" s="20" t="str">
        <x:v>U+2727E</x:v>
      </x:c>
      <x:c r="M452" s="20" t="str">
        <x:v>CJK Unified Ideographs Extension B</x:v>
      </x:c>
      <x:c r="N452" s="20" t="str">
        <x:v>Unicode code point recorded</x:v>
      </x:c>
      <x:c r="O452" s="20" t="str">
        <x:v>Low</x:v>
      </x:c>
      <x:c r="P452" s="20" t="str">
        <x:v>Structured</x:v>
      </x:c>
      <x:c r="Q452" s="20" t="str">
        <x:v>2.4.001 | 2727E / [UNUSED] | 𧉾𧉾 | 蠢 | 8822 [TGH / 1] | </x:v>
      </x:c>
      <x:c r="R452" s="20" t="str">
        <x:v>Uploaded: n2924-SecondStageSimplificationStatusv3.pdf</x:v>
      </x:c>
    </x:row>
    <x:row r="453">
      <x:c r="A453" s="20" t="str">
        <x:v>2.4.002</x:v>
      </x:c>
      <x:c r="B453" s="20" t="n">
        <x:v>55</x:v>
      </x:c>
      <x:c r="C453" s="20" t="str">
        <x:v>Part Two</x:v>
      </x:c>
      <x:c r="D453" s="20" t="str">
        <x:v>2.4</x:v>
      </x:c>
      <x:c r="E453" s="20" t="str">
        <x:v>Part Two — Outline Simplifications</x:v>
      </x:c>
      <x:c r="F453" s="20" t="str"/>
      <x:c r="G453" s="20" t="str">
        <x:v>篡</x:v>
      </x:c>
      <x:c r="H453" s="20" t="str">
        <x:v>篡</x:v>
      </x:c>
      <x:c r="I453" s="20" t="str"/>
      <x:c r="J453" s="20" t="str">
        <x:v>7BE1 [TGH
1]</x:v>
      </x:c>
      <x:c r="K453" s="20" t="str"/>
      <x:c r="L453" s="20" t="str"/>
      <x:c r="M453" s="20" t="str"/>
      <x:c r="N453" s="20" t="str">
        <x:v>No code-point data extracted — manual review</x:v>
      </x:c>
      <x:c r="O453" s="20" t="str">
        <x:v>Medium</x:v>
      </x:c>
      <x:c r="P453" s="20" t="str">
        <x:v>Structured</x:v>
      </x:c>
      <x:c r="Q453" s="20" t="str">
        <x:v>2.4.002 |  | 篡 | 篡 | 7BE1 [TGH / 1] | </x:v>
      </x:c>
      <x:c r="R453" s="20" t="str">
        <x:v>Uploaded: n2924-SecondStageSimplificationStatusv3.pdf</x:v>
      </x:c>
    </x:row>
    <x:row r="454">
      <x:c r="A454" s="20" t="str">
        <x:v>2.4.003</x:v>
      </x:c>
      <x:c r="B454" s="20" t="n">
        <x:v>55</x:v>
      </x:c>
      <x:c r="C454" s="20" t="str">
        <x:v>Part Two</x:v>
      </x:c>
      <x:c r="D454" s="20" t="str">
        <x:v>2.4</x:v>
      </x:c>
      <x:c r="E454" s="20" t="str">
        <x:v>Part Two — Outline Simplifications</x:v>
      </x:c>
      <x:c r="F454" s="20" t="str"/>
      <x:c r="G454" s="20" t="str">
        <x:v>等</x:v>
      </x:c>
      <x:c r="H454" s="20" t="str">
        <x:v>等</x:v>
      </x:c>
      <x:c r="I454" s="20" t="str"/>
      <x:c r="J454" s="20" t="str">
        <x:v>7B49 [TGH
1]</x:v>
      </x:c>
      <x:c r="K454" s="20" t="str"/>
      <x:c r="L454" s="20" t="str"/>
      <x:c r="M454" s="20" t="str"/>
      <x:c r="N454" s="20" t="str">
        <x:v>No code-point data extracted — manual review</x:v>
      </x:c>
      <x:c r="O454" s="20" t="str">
        <x:v>Medium</x:v>
      </x:c>
      <x:c r="P454" s="20" t="str">
        <x:v>Structured</x:v>
      </x:c>
      <x:c r="Q454" s="20" t="str">
        <x:v>2.4.003 |  | 等 | 等 | 7B49 [TGH / 1] | </x:v>
      </x:c>
      <x:c r="R454" s="20" t="str">
        <x:v>Uploaded: n2924-SecondStageSimplificationStatusv3.pdf</x:v>
      </x:c>
    </x:row>
    <x:row r="455">
      <x:c r="A455" s="20" t="str">
        <x:v>2.4.004</x:v>
      </x:c>
      <x:c r="B455" s="20" t="n">
        <x:v>55</x:v>
      </x:c>
      <x:c r="C455" s="20" t="str">
        <x:v>Part Two</x:v>
      </x:c>
      <x:c r="D455" s="20" t="str">
        <x:v>2.4</x:v>
      </x:c>
      <x:c r="E455" s="20" t="str">
        <x:v>Part Two — Outline Simplifications</x:v>
      </x:c>
      <x:c r="F455" s="20" t="str"/>
      <x:c r="G455" s="20" t="str">
        <x:v>鬼</x:v>
      </x:c>
      <x:c r="H455" s="20" t="str">
        <x:v>鬼</x:v>
      </x:c>
      <x:c r="I455" s="20" t="str"/>
      <x:c r="J455" s="20" t="str">
        <x:v>9B3C [TGH
1]</x:v>
      </x:c>
      <x:c r="K455" s="20" t="str"/>
      <x:c r="L455" s="20" t="str"/>
      <x:c r="M455" s="20" t="str"/>
      <x:c r="N455" s="20" t="str">
        <x:v>No code-point data extracted — manual review</x:v>
      </x:c>
      <x:c r="O455" s="20" t="str">
        <x:v>Medium</x:v>
      </x:c>
      <x:c r="P455" s="20" t="str">
        <x:v>Structured</x:v>
      </x:c>
      <x:c r="Q455" s="20" t="str">
        <x:v>2.4.004 |  | 鬼 | 鬼 | 9B3C [TGH / 1] | </x:v>
      </x:c>
      <x:c r="R455" s="20" t="str">
        <x:v>Uploaded: n2924-SecondStageSimplificationStatusv3.pdf</x:v>
      </x:c>
    </x:row>
    <x:row r="456">
      <x:c r="A456" s="20" t="str">
        <x:v>2.4.005</x:v>
      </x:c>
      <x:c r="B456" s="20" t="n">
        <x:v>55</x:v>
      </x:c>
      <x:c r="C456" s="20" t="str">
        <x:v>Part Two</x:v>
      </x:c>
      <x:c r="D456" s="20" t="str">
        <x:v>2.4</x:v>
      </x:c>
      <x:c r="E456" s="20" t="str">
        <x:v>Part Two — Outline Simplifications</x:v>
      </x:c>
      <x:c r="F456" s="20" t="str"/>
      <x:c r="G456" s="20" t="str">
        <x:v>魔</x:v>
      </x:c>
      <x:c r="H456" s="20" t="str">
        <x:v>魔</x:v>
      </x:c>
      <x:c r="I456" s="20" t="str"/>
      <x:c r="J456" s="20" t="str">
        <x:v>9B54 [TGH
1]</x:v>
      </x:c>
      <x:c r="K456" s="20" t="str"/>
      <x:c r="L456" s="20" t="str"/>
      <x:c r="M456" s="20" t="str"/>
      <x:c r="N456" s="20" t="str">
        <x:v>No code-point data extracted — manual review</x:v>
      </x:c>
      <x:c r="O456" s="20" t="str">
        <x:v>Medium</x:v>
      </x:c>
      <x:c r="P456" s="20" t="str">
        <x:v>Structured</x:v>
      </x:c>
      <x:c r="Q456" s="20" t="str">
        <x:v>2.4.005 |  | 魔 | 魔 | 9B54 [TGH / 1] | </x:v>
      </x:c>
      <x:c r="R456" s="20" t="str">
        <x:v>Uploaded: n2924-SecondStageSimplificationStatusv3.pdf</x:v>
      </x:c>
    </x:row>
    <x:row r="457">
      <x:c r="A457" s="20" t="str">
        <x:v>2.4.006</x:v>
      </x:c>
      <x:c r="B457" s="20" t="n">
        <x:v>55</x:v>
      </x:c>
      <x:c r="C457" s="20" t="str">
        <x:v>Part Two</x:v>
      </x:c>
      <x:c r="D457" s="20" t="str">
        <x:v>2.4</x:v>
      </x:c>
      <x:c r="E457" s="20" t="str">
        <x:v>Part Two — Outline Simplifications</x:v>
      </x:c>
      <x:c r="F457" s="20" t="str"/>
      <x:c r="G457" s="20" t="str">
        <x:v>磨</x:v>
      </x:c>
      <x:c r="H457" s="20" t="str">
        <x:v>磨</x:v>
      </x:c>
      <x:c r="I457" s="20" t="str"/>
      <x:c r="J457" s="20" t="str">
        <x:v>78E8 [TGH
1]</x:v>
      </x:c>
      <x:c r="K457" s="20" t="str"/>
      <x:c r="L457" s="20" t="str"/>
      <x:c r="M457" s="20" t="str"/>
      <x:c r="N457" s="20" t="str">
        <x:v>No code-point data extracted — manual review</x:v>
      </x:c>
      <x:c r="O457" s="20" t="str">
        <x:v>Medium</x:v>
      </x:c>
      <x:c r="P457" s="20" t="str">
        <x:v>Structured</x:v>
      </x:c>
      <x:c r="Q457" s="20" t="str">
        <x:v>2.4.006 |  | 磨 | 磨 | 78E8 [TGH / 1] | </x:v>
      </x:c>
      <x:c r="R457" s="20" t="str">
        <x:v>Uploaded: n2924-SecondStageSimplificationStatusv3.pdf</x:v>
      </x:c>
    </x:row>
    <x:row r="458">
      <x:c r="A458" s="20" t="str">
        <x:v>2.4.007</x:v>
      </x:c>
      <x:c r="B458" s="20" t="n">
        <x:v>55</x:v>
      </x:c>
      <x:c r="C458" s="20" t="str">
        <x:v>Part Two</x:v>
      </x:c>
      <x:c r="D458" s="20" t="str">
        <x:v>2.4</x:v>
      </x:c>
      <x:c r="E458" s="20" t="str">
        <x:v>Part Two — Outline Simplifications</x:v>
      </x:c>
      <x:c r="F458" s="20" t="str">
        <x:v>2D655
[UNUSED]</x:v>
      </x:c>
      <x:c r="G458" s="20" t="str">
        <x:v>𭙕𭙕</x:v>
      </x:c>
      <x:c r="H458" s="20" t="str">
        <x:v>摩</x:v>
      </x:c>
      <x:c r="I458" s="20" t="str"/>
      <x:c r="J458" s="20" t="str">
        <x:v>6469 [TGH
1]</x:v>
      </x:c>
      <x:c r="K458" s="20" t="str"/>
      <x:c r="L458" s="20" t="str">
        <x:v>U+2D655</x:v>
      </x:c>
      <x:c r="M458" s="20" t="str">
        <x:v>CJK Unified Ideographs Extension F</x:v>
      </x:c>
      <x:c r="N458" s="20" t="str">
        <x:v>Unicode code point recorded</x:v>
      </x:c>
      <x:c r="O458" s="20" t="str">
        <x:v>Low</x:v>
      </x:c>
      <x:c r="P458" s="20" t="str">
        <x:v>Structured</x:v>
      </x:c>
      <x:c r="Q458" s="20" t="str">
        <x:v>2.4.007 | 2D655 / [UNUSED] | 𭙕𭙕 | 摩 | 6469 [TGH / 1] | </x:v>
      </x:c>
      <x:c r="R458" s="20" t="str">
        <x:v>Uploaded: n2924-SecondStageSimplificationStatusv3.pdf</x:v>
      </x:c>
    </x:row>
    <x:row r="459">
      <x:c r="A459" s="20" t="str">
        <x:v>2.4.008</x:v>
      </x:c>
      <x:c r="B459" s="20" t="n">
        <x:v>55</x:v>
      </x:c>
      <x:c r="C459" s="20" t="str">
        <x:v>Part Two</x:v>
      </x:c>
      <x:c r="D459" s="20" t="str">
        <x:v>2.4</x:v>
      </x:c>
      <x:c r="E459" s="20" t="str">
        <x:v>Part Two — Outline Simplifications</x:v>
      </x:c>
      <x:c r="F459" s="20" t="str"/>
      <x:c r="G459" s="20" t="str">
        <x:v>阔</x:v>
      </x:c>
      <x:c r="H459" s="20" t="str">
        <x:v>阔</x:v>
      </x:c>
      <x:c r="I459" s="20" t="str"/>
      <x:c r="J459" s="20" t="str">
        <x:v>9614 [TGH
1]</x:v>
      </x:c>
      <x:c r="K459" s="20" t="str"/>
      <x:c r="L459" s="20" t="str"/>
      <x:c r="M459" s="20" t="str"/>
      <x:c r="N459" s="20" t="str">
        <x:v>No code-point data extracted — manual review</x:v>
      </x:c>
      <x:c r="O459" s="20" t="str">
        <x:v>Medium</x:v>
      </x:c>
      <x:c r="P459" s="20" t="str">
        <x:v>Structured</x:v>
      </x:c>
      <x:c r="Q459" s="20" t="str">
        <x:v>2.4.008 |  | 阔 | 阔 | 9614 [TGH / 1] | </x:v>
      </x:c>
      <x:c r="R459" s="20" t="str">
        <x:v>Uploaded: n2924-SecondStageSimplificationStatusv3.pdf</x:v>
      </x:c>
    </x:row>
    <x:row r="460">
      <x:c r="A460" s="20" t="str">
        <x:v>2.4.009</x:v>
      </x:c>
      <x:c r="B460" s="20" t="n">
        <x:v>55</x:v>
      </x:c>
      <x:c r="C460" s="20" t="str">
        <x:v>Part Two</x:v>
      </x:c>
      <x:c r="D460" s="20" t="str">
        <x:v>2.4</x:v>
      </x:c>
      <x:c r="E460" s="20" t="str">
        <x:v>Part Two — Outline Simplifications</x:v>
      </x:c>
      <x:c r="F460" s="20" t="str">
        <x:v>3751
[UNUSED]</x:v>
      </x:c>
      <x:c r="G460" s="20" t="str">
        <x:v>㝑</x:v>
      </x:c>
      <x:c r="H460" s="20" t="str">
        <x:v>旁</x:v>
      </x:c>
      <x:c r="I460" s="20" t="str"/>
      <x:c r="J460" s="20" t="str">
        <x:v>65C1 [TGH
1]</x:v>
      </x:c>
      <x:c r="K460" s="20" t="str"/>
      <x:c r="L460" s="20" t="str">
        <x:v>U+3751</x:v>
      </x:c>
      <x:c r="M460" s="20" t="str">
        <x:v>CJK Unified Ideographs Extension A</x:v>
      </x:c>
      <x:c r="N460" s="20" t="str">
        <x:v>Unicode code point recorded</x:v>
      </x:c>
      <x:c r="O460" s="20" t="str">
        <x:v>Low</x:v>
      </x:c>
      <x:c r="P460" s="20" t="str">
        <x:v>Structured</x:v>
      </x:c>
      <x:c r="Q460" s="20" t="str">
        <x:v>2.4.009 | 3751 / [UNUSED] | 㝑 | 旁 | 65C1 [TGH / 1] | </x:v>
      </x:c>
      <x:c r="R460" s="20" t="str">
        <x:v>Uploaded: n2924-SecondStageSimplificationStatusv3.pdf</x:v>
      </x:c>
    </x:row>
    <x:row r="461">
      <x:c r="A461" s="20" t="str">
        <x:v>2.4.010</x:v>
      </x:c>
      <x:c r="B461" s="20" t="n">
        <x:v>55</x:v>
      </x:c>
      <x:c r="C461" s="20" t="str">
        <x:v>Part Two</x:v>
      </x:c>
      <x:c r="D461" s="20" t="str">
        <x:v>2.4</x:v>
      </x:c>
      <x:c r="E461" s="20" t="str">
        <x:v>Part Two — Outline Simplifications</x:v>
      </x:c>
      <x:c r="F461" s="20" t="str"/>
      <x:c r="G461" s="20" t="str">
        <x:v>鼠</x:v>
      </x:c>
      <x:c r="H461" s="20" t="str">
        <x:v>鼠</x:v>
      </x:c>
      <x:c r="I461" s="20" t="str"/>
      <x:c r="J461" s="20" t="str">
        <x:v>9F20 [TGH
1]</x:v>
      </x:c>
      <x:c r="K461" s="20" t="str"/>
      <x:c r="L461" s="20" t="str"/>
      <x:c r="M461" s="20" t="str"/>
      <x:c r="N461" s="20" t="str">
        <x:v>No code-point data extracted — manual review</x:v>
      </x:c>
      <x:c r="O461" s="20" t="str">
        <x:v>Medium</x:v>
      </x:c>
      <x:c r="P461" s="20" t="str">
        <x:v>Structured</x:v>
      </x:c>
      <x:c r="Q461" s="20" t="str">
        <x:v>2.4.010 |  | 鼠 | 鼠 | 9F20 [TGH / 1] | </x:v>
      </x:c>
      <x:c r="R461" s="20" t="str">
        <x:v>Uploaded: n2924-SecondStageSimplificationStatusv3.pdf</x:v>
      </x:c>
    </x:row>
    <x:row r="462">
      <x:c r="A462" s="20" t="str">
        <x:v>2.4.011</x:v>
      </x:c>
      <x:c r="B462" s="20" t="n">
        <x:v>55</x:v>
      </x:c>
      <x:c r="C462" s="20" t="str">
        <x:v>Part Two</x:v>
      </x:c>
      <x:c r="D462" s="20" t="str">
        <x:v>2.4</x:v>
      </x:c>
      <x:c r="E462" s="20" t="str">
        <x:v>Part Two — Outline Simplifications</x:v>
      </x:c>
      <x:c r="F462" s="20" t="str"/>
      <x:c r="G462" s="20" t="str">
        <x:v>叟</x:v>
      </x:c>
      <x:c r="H462" s="20" t="str">
        <x:v>叟搜
嗖飕</x:v>
      </x:c>
      <x:c r="I462" s="20" t="str"/>
      <x:c r="J462" s="20" t="str">
        <x:v>53DF [TGH
2]
641C [TGH
1]</x:v>
      </x:c>
      <x:c r="K462" s="20" t="str"/>
      <x:c r="L462" s="20" t="str"/>
      <x:c r="M462" s="20" t="str"/>
      <x:c r="N462" s="20" t="str">
        <x:v>No code-point data extracted — manual review</x:v>
      </x:c>
      <x:c r="O462" s="20" t="str">
        <x:v>Medium</x:v>
      </x:c>
      <x:c r="P462" s="20" t="str">
        <x:v>Structured</x:v>
      </x:c>
      <x:c r="Q462" s="20" t="str">
        <x:v>2.4.011 |  | 叟 | 叟搜 / 嗖飕 | 53DF [TGH / 2] / 641C [TGH / 1] | </x:v>
      </x:c>
      <x:c r="R462" s="20" t="str">
        <x:v>Uploaded: n2924-SecondStageSimplificationStatusv3.pdf</x:v>
      </x:c>
    </x:row>
    <x:row r="463">
      <x:c r="A463" s="20" t="str">
        <x:v>2.4.012</x:v>
      </x:c>
      <x:c r="B463" s="20" t="n">
        <x:v>56</x:v>
      </x:c>
      <x:c r="C463" s="20" t="str">
        <x:v>Part Two</x:v>
      </x:c>
      <x:c r="D463" s="20" t="str">
        <x:v>2.4</x:v>
      </x:c>
      <x:c r="E463" s="20" t="str">
        <x:v>Part Two — Outline Simplifications</x:v>
      </x:c>
      <x:c r="F463" s="20" t="str">
        <x:v>3B30
[UNUSED]</x:v>
      </x:c>
      <x:c r="G463" s="20" t="str">
        <x:v>㬰</x:v>
      </x:c>
      <x:c r="H463" s="20" t="str">
        <x:v>臾</x:v>
      </x:c>
      <x:c r="I463" s="20" t="str"/>
      <x:c r="J463" s="20" t="str">
        <x:v>81FE [TGH
2]</x:v>
      </x:c>
      <x:c r="K463" s="20" t="str"/>
      <x:c r="L463" s="20" t="str">
        <x:v>U+3B30</x:v>
      </x:c>
      <x:c r="M463" s="20" t="str">
        <x:v>CJK Unified Ideographs Extension A</x:v>
      </x:c>
      <x:c r="N463" s="20" t="str">
        <x:v>Unicode code point recorded</x:v>
      </x:c>
      <x:c r="O463" s="20" t="str">
        <x:v>Low</x:v>
      </x:c>
      <x:c r="P463" s="20" t="str">
        <x:v>Structured</x:v>
      </x:c>
      <x:c r="Q463" s="20" t="str">
        <x:v>2.4.012 | 3B30 / [UNUSED] | 㬰 | 臾 | 81FE [TGH / 2] | </x:v>
      </x:c>
      <x:c r="R463" s="20" t="str">
        <x:v>Uploaded: n2924-SecondStageSimplificationStatusv3.pdf</x:v>
      </x:c>
    </x:row>
    <x:row r="464">
      <x:c r="A464" s="20" t="str">
        <x:v>2.4.013</x:v>
      </x:c>
      <x:c r="B464" s="20" t="n">
        <x:v>56</x:v>
      </x:c>
      <x:c r="C464" s="20" t="str">
        <x:v>Part Two</x:v>
      </x:c>
      <x:c r="D464" s="20" t="str">
        <x:v>2.4</x:v>
      </x:c>
      <x:c r="E464" s="20" t="str">
        <x:v>Part Two — Outline Simplifications</x:v>
      </x:c>
      <x:c r="F464" s="20" t="str"/>
      <x:c r="G464" s="20" t="str">
        <x:v>舀</x:v>
      </x:c>
      <x:c r="H464" s="20" t="str">
        <x:v>舀</x:v>
      </x:c>
      <x:c r="I464" s="20" t="str"/>
      <x:c r="J464" s="20" t="str">
        <x:v>8200 [TGH
1]</x:v>
      </x:c>
      <x:c r="K464" s="20" t="str"/>
      <x:c r="L464" s="20" t="str"/>
      <x:c r="M464" s="20" t="str"/>
      <x:c r="N464" s="20" t="str">
        <x:v>No code-point data extracted — manual review</x:v>
      </x:c>
      <x:c r="O464" s="20" t="str">
        <x:v>Medium</x:v>
      </x:c>
      <x:c r="P464" s="20" t="str">
        <x:v>Structured</x:v>
      </x:c>
      <x:c r="Q464" s="20" t="str">
        <x:v>2.4.013 |  | 舀 | 舀 | 8200 [TGH / 1] | </x:v>
      </x:c>
      <x:c r="R464" s="20" t="str">
        <x:v>Uploaded: n2924-SecondStageSimplificationStatusv3.pdf</x:v>
      </x:c>
    </x:row>
    <x:row r="465">
      <x:c r="A465" s="20" t="str">
        <x:v>2.4.014</x:v>
      </x:c>
      <x:c r="B465" s="20" t="n">
        <x:v>56</x:v>
      </x:c>
      <x:c r="C465" s="20" t="str">
        <x:v>Part Two</x:v>
      </x:c>
      <x:c r="D465" s="20" t="str">
        <x:v>2.4</x:v>
      </x:c>
      <x:c r="E465" s="20" t="str">
        <x:v>Part Two — Outline Simplifications</x:v>
      </x:c>
      <x:c r="F465" s="20" t="str">
        <x:v>964F
[UNUSED
HJMT]</x:v>
      </x:c>
      <x:c r="G465" s="20" t="str">
        <x:v>陏</x:v>
      </x:c>
      <x:c r="H465" s="20" t="str">
        <x:v>隋随</x:v>
      </x:c>
      <x:c r="I465" s="20" t="str"/>
      <x:c r="J465" s="20" t="str">
        <x:v>968B [TGH
1]
968F [TGH
1]</x:v>
      </x:c>
      <x:c r="K465" s="20" t="str"/>
      <x:c r="L465" s="20" t="str">
        <x:v>U+964F</x:v>
      </x:c>
      <x:c r="M465" s="20" t="str">
        <x:v>CJK Unified Ideographs</x:v>
      </x:c>
      <x:c r="N465" s="20" t="str">
        <x:v>Unicode code point recorded</x:v>
      </x:c>
      <x:c r="O465" s="20" t="str">
        <x:v>Low</x:v>
      </x:c>
      <x:c r="P465" s="20" t="str">
        <x:v>Structured</x:v>
      </x:c>
      <x:c r="Q465" s="20" t="str">
        <x:v>2.4.014 | 964F / [UNUSED / HJMT] | 陏 | 隋随 | 968B [TGH / 1] / 968F [TGH / 1] | </x:v>
      </x:c>
      <x:c r="R465" s="20" t="str">
        <x:v>Uploaded: n2924-SecondStageSimplificationStatusv3.pdf</x:v>
      </x:c>
    </x:row>
    <x:row r="466">
      <x:c r="A466" s="20" t="str">
        <x:v>2.4.015</x:v>
      </x:c>
      <x:c r="B466" s="20" t="n">
        <x:v>56</x:v>
      </x:c>
      <x:c r="C466" s="20" t="str">
        <x:v>Part Two</x:v>
      </x:c>
      <x:c r="D466" s="20" t="str">
        <x:v>2.4</x:v>
      </x:c>
      <x:c r="E466" s="20" t="str">
        <x:v>Part Two — Outline Simplifications</x:v>
      </x:c>
      <x:c r="F466" s="20" t="str">
        <x:v>30828
[UNUSED]</x:v>
      </x:c>
      <x:c r="G466" s="20" t="str">
        <x:v>𰠨𰠨</x:v>
      </x:c>
      <x:c r="H466" s="20" t="str">
        <x:v>犀</x:v>
      </x:c>
      <x:c r="I466" s="20" t="str"/>
      <x:c r="J466" s="20" t="str">
        <x:v>7280 [TGH
1]</x:v>
      </x:c>
      <x:c r="K466" s="20" t="str"/>
      <x:c r="L466" s="20" t="str">
        <x:v>U+30828</x:v>
      </x:c>
      <x:c r="M466" s="20" t="str">
        <x:v>CJK Unified Ideographs Extension G</x:v>
      </x:c>
      <x:c r="N466" s="20" t="str">
        <x:v>Encoded now — Extension G</x:v>
      </x:c>
      <x:c r="O466" s="20" t="str">
        <x:v>Low</x:v>
      </x:c>
      <x:c r="P466" s="20" t="str">
        <x:v>Structured</x:v>
      </x:c>
      <x:c r="Q466" s="20" t="str">
        <x:v>2.4.015 | 30828 / [UNUSED] | 𰠨𰠨 | 犀 | 7280 [TGH / 1] | </x:v>
      </x:c>
      <x:c r="R466" s="20" t="str">
        <x:v>Uploaded: n2924-SecondStageSimplificationStatusv3.pdf</x:v>
      </x:c>
    </x:row>
    <x:row r="467">
      <x:c r="A467" s="20" t="str">
        <x:v>2.4.016</x:v>
      </x:c>
      <x:c r="B467" s="20" t="n">
        <x:v>56</x:v>
      </x:c>
      <x:c r="C467" s="20" t="str">
        <x:v>Part Two</x:v>
      </x:c>
      <x:c r="D467" s="20" t="str">
        <x:v>2.4</x:v>
      </x:c>
      <x:c r="E467" s="20" t="str">
        <x:v>Part Two — Outline Simplifications</x:v>
      </x:c>
      <x:c r="F467" s="20" t="str"/>
      <x:c r="G467" s="20" t="str">
        <x:v>喜</x:v>
      </x:c>
      <x:c r="H467" s="20" t="str">
        <x:v>喜</x:v>
      </x:c>
      <x:c r="I467" s="20" t="str"/>
      <x:c r="J467" s="20" t="str">
        <x:v>559C [TGH
1]</x:v>
      </x:c>
      <x:c r="K467" s="20" t="str"/>
      <x:c r="L467" s="20" t="str"/>
      <x:c r="M467" s="20" t="str"/>
      <x:c r="N467" s="20" t="str">
        <x:v>No code-point data extracted — manual review</x:v>
      </x:c>
      <x:c r="O467" s="20" t="str">
        <x:v>Medium</x:v>
      </x:c>
      <x:c r="P467" s="20" t="str">
        <x:v>Structured</x:v>
      </x:c>
      <x:c r="Q467" s="20" t="str">
        <x:v>2.4.016 |  | 喜 | 喜 | 559C [TGH / 1] | </x:v>
      </x:c>
      <x:c r="R467" s="20" t="str">
        <x:v>Uploaded: n2924-SecondStageSimplificationStatusv3.pdf</x:v>
      </x:c>
    </x:row>
    <x:row r="468">
      <x:c r="A468" s="20" t="str">
        <x:v>2.4.017</x:v>
      </x:c>
      <x:c r="B468" s="20" t="n">
        <x:v>56</x:v>
      </x:c>
      <x:c r="C468" s="20" t="str">
        <x:v>Part Two</x:v>
      </x:c>
      <x:c r="D468" s="20" t="str">
        <x:v>2.4</x:v>
      </x:c>
      <x:c r="E468" s="20" t="str">
        <x:v>Part Two — Outline Simplifications</x:v>
      </x:c>
      <x:c r="F468" s="20" t="str"/>
      <x:c r="G468" s="20" t="str">
        <x:v>雨</x:v>
      </x:c>
      <x:c r="H468" s="20" t="str">
        <x:v>雨</x:v>
      </x:c>
      <x:c r="I468" s="20" t="str"/>
      <x:c r="J468" s="20" t="str">
        <x:v>96E8 [TGH
1]</x:v>
      </x:c>
      <x:c r="K468" s="20" t="str"/>
      <x:c r="L468" s="20" t="str"/>
      <x:c r="M468" s="20" t="str"/>
      <x:c r="N468" s="20" t="str">
        <x:v>No code-point data extracted — manual review</x:v>
      </x:c>
      <x:c r="O468" s="20" t="str">
        <x:v>Medium</x:v>
      </x:c>
      <x:c r="P468" s="20" t="str">
        <x:v>Structured</x:v>
      </x:c>
      <x:c r="Q468" s="20" t="str">
        <x:v>2.4.017 |  | 雨 | 雨 | 96E8 [TGH / 1] | </x:v>
      </x:c>
      <x:c r="R468" s="20" t="str">
        <x:v>Uploaded: n2924-SecondStageSimplificationStatusv3.pdf</x:v>
      </x:c>
    </x:row>
    <x:row r="469">
      <x:c r="A469" s="20" t="str">
        <x:v>2.4.018</x:v>
      </x:c>
      <x:c r="B469" s="20" t="n">
        <x:v>56</x:v>
      </x:c>
      <x:c r="C469" s="20" t="str">
        <x:v>Part Two</x:v>
      </x:c>
      <x:c r="D469" s="20" t="str">
        <x:v>2.4</x:v>
      </x:c>
      <x:c r="E469" s="20" t="str">
        <x:v>Part Two — Outline Simplifications</x:v>
      </x:c>
      <x:c r="F469" s="20" t="str">
        <x:v>2053E
[UNUSED]</x:v>
      </x:c>
      <x:c r="G469" s="20" t="str">
        <x:v>𠔾𠔾</x:v>
      </x:c>
      <x:c r="H469" s="20" t="str">
        <x:v>舟</x:v>
      </x:c>
      <x:c r="I469" s="20" t="str"/>
      <x:c r="J469" s="20" t="str">
        <x:v>821F [TGH
1]</x:v>
      </x:c>
      <x:c r="K469" s="20" t="str"/>
      <x:c r="L469" s="20" t="str">
        <x:v>U+2053E</x:v>
      </x:c>
      <x:c r="M469" s="20" t="str">
        <x:v>CJK Unified Ideographs Extension B</x:v>
      </x:c>
      <x:c r="N469" s="20" t="str">
        <x:v>Unicode code point recorded</x:v>
      </x:c>
      <x:c r="O469" s="20" t="str">
        <x:v>Low</x:v>
      </x:c>
      <x:c r="P469" s="20" t="str">
        <x:v>Structured</x:v>
      </x:c>
      <x:c r="Q469" s="20" t="str">
        <x:v>2.4.018 | 2053E / [UNUSED] | 𠔾𠔾 | 舟 | 821F [TGH / 1] | </x:v>
      </x:c>
      <x:c r="R469" s="20" t="str">
        <x:v>Uploaded: n2924-SecondStageSimplificationStatusv3.pdf</x:v>
      </x:c>
    </x:row>
    <x:row r="470">
      <x:c r="A470" s="20" t="str">
        <x:v>2.4.019</x:v>
      </x:c>
      <x:c r="B470" s="20" t="n">
        <x:v>56</x:v>
      </x:c>
      <x:c r="C470" s="20" t="str">
        <x:v>Part Two</x:v>
      </x:c>
      <x:c r="D470" s="20" t="str">
        <x:v>2.4</x:v>
      </x:c>
      <x:c r="E470" s="20" t="str">
        <x:v>Part Two — Outline Simplifications</x:v>
      </x:c>
      <x:c r="F470" s="20" t="str"/>
      <x:c r="G470" s="20" t="str">
        <x:v>角</x:v>
      </x:c>
      <x:c r="H470" s="20" t="str">
        <x:v>角</x:v>
      </x:c>
      <x:c r="I470" s="20" t="str"/>
      <x:c r="J470" s="20" t="str">
        <x:v>89D2 [TGH
1]</x:v>
      </x:c>
      <x:c r="K470" s="20" t="str"/>
      <x:c r="L470" s="20" t="str"/>
      <x:c r="M470" s="20" t="str"/>
      <x:c r="N470" s="20" t="str">
        <x:v>No code-point data extracted — manual review</x:v>
      </x:c>
      <x:c r="O470" s="20" t="str">
        <x:v>Medium</x:v>
      </x:c>
      <x:c r="P470" s="20" t="str">
        <x:v>Structured</x:v>
      </x:c>
      <x:c r="Q470" s="20" t="str">
        <x:v>2.4.019 |  | 角 | 角 | 89D2 [TGH / 1] | </x:v>
      </x:c>
      <x:c r="R470" s="20" t="str">
        <x:v>Uploaded: n2924-SecondStageSimplificationStatusv3.pdf</x:v>
      </x:c>
    </x:row>
    <x:row r="471">
      <x:c r="A471" s="20" t="str">
        <x:v>2.4.020</x:v>
      </x:c>
      <x:c r="B471" s="20" t="n">
        <x:v>56</x:v>
      </x:c>
      <x:c r="C471" s="20" t="str">
        <x:v>Part Two</x:v>
      </x:c>
      <x:c r="D471" s="20" t="str">
        <x:v>2.4</x:v>
      </x:c>
      <x:c r="E471" s="20" t="str">
        <x:v>Part Two — Outline Simplifications</x:v>
      </x:c>
      <x:c r="F471" s="20" t="str"/>
      <x:c r="G471" s="20" t="str">
        <x:v>耳</x:v>
      </x:c>
      <x:c r="H471" s="20" t="str">
        <x:v>耳</x:v>
      </x:c>
      <x:c r="I471" s="20" t="str"/>
      <x:c r="J471" s="20" t="str">
        <x:v>8033 [TGH
1]</x:v>
      </x:c>
      <x:c r="K471" s="20" t="str"/>
      <x:c r="L471" s="20" t="str"/>
      <x:c r="M471" s="20" t="str"/>
      <x:c r="N471" s="20" t="str">
        <x:v>No code-point data extracted — manual review</x:v>
      </x:c>
      <x:c r="O471" s="20" t="str">
        <x:v>Medium</x:v>
      </x:c>
      <x:c r="P471" s="20" t="str">
        <x:v>Structured</x:v>
      </x:c>
      <x:c r="Q471" s="20" t="str">
        <x:v>2.4.020 |  | 耳 | 耳 | 8033 [TGH / 1] | </x:v>
      </x:c>
      <x:c r="R471" s="20" t="str">
        <x:v>Uploaded: n2924-SecondStageSimplificationStatusv3.pdf</x:v>
      </x:c>
    </x:row>
    <x:row r="472">
      <x:c r="A472" s="20" t="str">
        <x:v>2.4.021</x:v>
      </x:c>
      <x:c r="B472" s="20" t="n">
        <x:v>56</x:v>
      </x:c>
      <x:c r="C472" s="20" t="str">
        <x:v>Part Two</x:v>
      </x:c>
      <x:c r="D472" s="20" t="str">
        <x:v>2.4</x:v>
      </x:c>
      <x:c r="E472" s="20" t="str">
        <x:v>Part Two — Outline Simplifications</x:v>
      </x:c>
      <x:c r="F472" s="20" t="str"/>
      <x:c r="G472" s="20" t="str">
        <x:v>南</x:v>
      </x:c>
      <x:c r="H472" s="20" t="str">
        <x:v>南</x:v>
      </x:c>
      <x:c r="I472" s="20" t="str"/>
      <x:c r="J472" s="20" t="str">
        <x:v>5357 [TGH
1]</x:v>
      </x:c>
      <x:c r="K472" s="20" t="str"/>
      <x:c r="L472" s="20" t="str"/>
      <x:c r="M472" s="20" t="str"/>
      <x:c r="N472" s="20" t="str">
        <x:v>No code-point data extracted — manual review</x:v>
      </x:c>
      <x:c r="O472" s="20" t="str">
        <x:v>Medium</x:v>
      </x:c>
      <x:c r="P472" s="20" t="str">
        <x:v>Structured</x:v>
      </x:c>
      <x:c r="Q472" s="20" t="str">
        <x:v>2.4.021 |  | 南 | 南 | 5357 [TGH / 1] | </x:v>
      </x:c>
      <x:c r="R472" s="20" t="str">
        <x:v>Uploaded: n2924-SecondStageSimplificationStatusv3.pdf</x:v>
      </x:c>
    </x:row>
    <x:row r="473">
      <x:c r="A473" s="20" t="str">
        <x:v>2.4.022</x:v>
      </x:c>
      <x:c r="B473" s="20" t="n">
        <x:v>56</x:v>
      </x:c>
      <x:c r="C473" s="20" t="str">
        <x:v>Part Two</x:v>
      </x:c>
      <x:c r="D473" s="20" t="str">
        <x:v>2.4</x:v>
      </x:c>
      <x:c r="E473" s="20" t="str">
        <x:v>Part Two — Outline Simplifications</x:v>
      </x:c>
      <x:c r="F473" s="20" t="str"/>
      <x:c r="G473" s="20" t="str">
        <x:v>商</x:v>
      </x:c>
      <x:c r="H473" s="20" t="str">
        <x:v>商</x:v>
      </x:c>
      <x:c r="I473" s="20" t="str"/>
      <x:c r="J473" s="20" t="str">
        <x:v>5546 [TGH
1]</x:v>
      </x:c>
      <x:c r="K473" s="20" t="str"/>
      <x:c r="L473" s="20" t="str"/>
      <x:c r="M473" s="20" t="str"/>
      <x:c r="N473" s="20" t="str">
        <x:v>No code-point data extracted — manual review</x:v>
      </x:c>
      <x:c r="O473" s="20" t="str">
        <x:v>Medium</x:v>
      </x:c>
      <x:c r="P473" s="20" t="str">
        <x:v>Structured</x:v>
      </x:c>
      <x:c r="Q473" s="20" t="str">
        <x:v>2.4.022 |  | 商 | 商 | 5546 [TGH / 1] | </x:v>
      </x:c>
      <x:c r="R473" s="20" t="str">
        <x:v>Uploaded: n2924-SecondStageSimplificationStatusv3.pdf</x:v>
      </x:c>
    </x:row>
    <x:row r="474">
      <x:c r="A474" s="20" t="str">
        <x:v>2.4.023</x:v>
      </x:c>
      <x:c r="B474" s="20" t="n">
        <x:v>56</x:v>
      </x:c>
      <x:c r="C474" s="20" t="str">
        <x:v>Part Two</x:v>
      </x:c>
      <x:c r="D474" s="20" t="str">
        <x:v>2.4</x:v>
      </x:c>
      <x:c r="E474" s="20" t="str">
        <x:v>Part Two — Outline Simplifications</x:v>
      </x:c>
      <x:c r="F474" s="20" t="str"/>
      <x:c r="G474" s="20" t="str">
        <x:v>皿</x:v>
      </x:c>
      <x:c r="H474" s="20" t="str">
        <x:v>皿</x:v>
      </x:c>
      <x:c r="I474" s="20" t="str"/>
      <x:c r="J474" s="20" t="str">
        <x:v>76BF [TGH
1]</x:v>
      </x:c>
      <x:c r="K474" s="20" t="str"/>
      <x:c r="L474" s="20" t="str"/>
      <x:c r="M474" s="20" t="str"/>
      <x:c r="N474" s="20" t="str">
        <x:v>No code-point data extracted — manual review</x:v>
      </x:c>
      <x:c r="O474" s="20" t="str">
        <x:v>Medium</x:v>
      </x:c>
      <x:c r="P474" s="20" t="str">
        <x:v>Structured</x:v>
      </x:c>
      <x:c r="Q474" s="20" t="str">
        <x:v>2.4.023 |  | 皿 | 皿 | 76BF [TGH / 1] | </x:v>
      </x:c>
      <x:c r="R474" s="20" t="str">
        <x:v>Uploaded: n2924-SecondStageSimplificationStatusv3.pdf</x:v>
      </x:c>
    </x:row>
    <x:row r="475">
      <x:c r="A475" s="20" t="str">
        <x:v>2.4.024</x:v>
      </x:c>
      <x:c r="B475" s="20" t="n">
        <x:v>56</x:v>
      </x:c>
      <x:c r="C475" s="20" t="str">
        <x:v>Part Two</x:v>
      </x:c>
      <x:c r="D475" s="20" t="str">
        <x:v>2.4</x:v>
      </x:c>
      <x:c r="E475" s="20" t="str">
        <x:v>Part Two — Outline Simplifications</x:v>
      </x:c>
      <x:c r="F475" s="20" t="str"/>
      <x:c r="G475" s="20" t="str">
        <x:v>血</x:v>
      </x:c>
      <x:c r="H475" s="20" t="str">
        <x:v>血</x:v>
      </x:c>
      <x:c r="I475" s="20" t="str"/>
      <x:c r="J475" s="20" t="str">
        <x:v>8840 [TGH
1]</x:v>
      </x:c>
      <x:c r="K475" s="20" t="str"/>
      <x:c r="L475" s="20" t="str"/>
      <x:c r="M475" s="20" t="str"/>
      <x:c r="N475" s="20" t="str">
        <x:v>No code-point data extracted — manual review</x:v>
      </x:c>
      <x:c r="O475" s="20" t="str">
        <x:v>Medium</x:v>
      </x:c>
      <x:c r="P475" s="20" t="str">
        <x:v>Structured</x:v>
      </x:c>
      <x:c r="Q475" s="20" t="str">
        <x:v>2.4.024 |  | 血 | 血 | 8840 [TGH / 1] | </x:v>
      </x:c>
      <x:c r="R475" s="20" t="str">
        <x:v>Uploaded: n2924-SecondStageSimplificationStatusv3.pdf</x:v>
      </x:c>
    </x:row>
    <x:row r="476">
      <x:c r="A476" s="20" t="str">
        <x:v>2.5.001</x:v>
      </x:c>
      <x:c r="B476" s="20" t="n">
        <x:v>57</x:v>
      </x:c>
      <x:c r="C476" s="20" t="str">
        <x:v>Part Two</x:v>
      </x:c>
      <x:c r="D476" s="20" t="str">
        <x:v>2.5</x:v>
      </x:c>
      <x:c r="E476" s="20" t="str">
        <x:v>Part Two — Cursive Simplifications</x:v>
      </x:c>
      <x:c r="F476" s="20" t="str"/>
      <x:c r="G476" s="20" t="str">
        <x:v>弟</x:v>
      </x:c>
      <x:c r="H476" s="20" t="str">
        <x:v>弟第</x:v>
      </x:c>
      <x:c r="I476" s="20" t="str"/>
      <x:c r="J476" s="20" t="str">
        <x:v>5F1F [TGH
1]
7B2C [TGH
1]</x:v>
      </x:c>
      <x:c r="K476" s="20" t="str"/>
      <x:c r="L476" s="20" t="str"/>
      <x:c r="M476" s="20" t="str"/>
      <x:c r="N476" s="20" t="str">
        <x:v>No code-point data extracted — manual review</x:v>
      </x:c>
      <x:c r="O476" s="20" t="str">
        <x:v>Medium</x:v>
      </x:c>
      <x:c r="P476" s="20" t="str">
        <x:v>Structured</x:v>
      </x:c>
      <x:c r="Q476" s="20" t="str">
        <x:v>2.5.001 |  | 弟 | 弟第 | 5F1F [TGH / 1] / 7B2C [TGH / 1] | </x:v>
      </x:c>
      <x:c r="R476" s="20" t="str">
        <x:v>Uploaded: n2924-SecondStageSimplificationStatusv3.pdf</x:v>
      </x:c>
    </x:row>
    <x:row r="477">
      <x:c r="A477" s="20" t="str">
        <x:v>2.5.002</x:v>
      </x:c>
      <x:c r="B477" s="20" t="n">
        <x:v>57</x:v>
      </x:c>
      <x:c r="C477" s="20" t="str">
        <x:v>Part Two</x:v>
      </x:c>
      <x:c r="D477" s="20" t="str">
        <x:v>2.5</x:v>
      </x:c>
      <x:c r="E477" s="20" t="str">
        <x:v>Part Two — Cursive Simplifications</x:v>
      </x:c>
      <x:c r="F477" s="20" t="str"/>
      <x:c r="G477" s="20" t="str">
        <x:v>嚏</x:v>
      </x:c>
      <x:c r="H477" s="20" t="str">
        <x:v>嚏涕</x:v>
      </x:c>
      <x:c r="I477" s="20" t="str"/>
      <x:c r="J477" s="20" t="str">
        <x:v>568F [TGH
2]
6D95 [TGH
1]</x:v>
      </x:c>
      <x:c r="K477" s="20" t="str"/>
      <x:c r="L477" s="20" t="str"/>
      <x:c r="M477" s="20" t="str"/>
      <x:c r="N477" s="20" t="str">
        <x:v>No code-point data extracted — manual review</x:v>
      </x:c>
      <x:c r="O477" s="20" t="str">
        <x:v>Medium</x:v>
      </x:c>
      <x:c r="P477" s="20" t="str">
        <x:v>Structured</x:v>
      </x:c>
      <x:c r="Q477" s="20" t="str">
        <x:v>2.5.002 |  | 嚏 | 嚏涕 | 568F [TGH / 2] / 6D95 [TGH / 1] | </x:v>
      </x:c>
      <x:c r="R477" s="20" t="str">
        <x:v>Uploaded: n2924-SecondStageSimplificationStatusv3.pdf</x:v>
      </x:c>
    </x:row>
    <x:row r="478">
      <x:c r="A478" s="20" t="str">
        <x:v>2.5.003</x:v>
      </x:c>
      <x:c r="B478" s="20" t="n">
        <x:v>57</x:v>
      </x:c>
      <x:c r="C478" s="20" t="str">
        <x:v>Part Two</x:v>
      </x:c>
      <x:c r="D478" s="20" t="str">
        <x:v>2.5</x:v>
      </x:c>
      <x:c r="E478" s="20" t="str">
        <x:v>Part Two — Cursive Simplifications</x:v>
      </x:c>
      <x:c r="F478" s="20" t="str"/>
      <x:c r="G478" s="20" t="str">
        <x:v>亥</x:v>
      </x:c>
      <x:c r="H478" s="20" t="str">
        <x:v>亥</x:v>
      </x:c>
      <x:c r="I478" s="20" t="str"/>
      <x:c r="J478" s="20" t="str">
        <x:v>4EA5 [TGH
1]</x:v>
      </x:c>
      <x:c r="K478" s="20" t="str"/>
      <x:c r="L478" s="20" t="str"/>
      <x:c r="M478" s="20" t="str"/>
      <x:c r="N478" s="20" t="str">
        <x:v>No code-point data extracted — manual review</x:v>
      </x:c>
      <x:c r="O478" s="20" t="str">
        <x:v>Medium</x:v>
      </x:c>
      <x:c r="P478" s="20" t="str">
        <x:v>Structured</x:v>
      </x:c>
      <x:c r="Q478" s="20" t="str">
        <x:v>2.5.003 |  | 亥 | 亥 | 4EA5 [TGH / 1] | </x:v>
      </x:c>
      <x:c r="R478" s="20" t="str">
        <x:v>Uploaded: n2924-SecondStageSimplificationStatusv3.pdf</x:v>
      </x:c>
    </x:row>
    <x:row r="479">
      <x:c r="A479" s="20" t="str">
        <x:v>2.5.004</x:v>
      </x:c>
      <x:c r="B479" s="20" t="n">
        <x:v>57</x:v>
      </x:c>
      <x:c r="C479" s="20" t="str">
        <x:v>Part Two</x:v>
      </x:c>
      <x:c r="D479" s="20" t="str">
        <x:v>2.5</x:v>
      </x:c>
      <x:c r="E479" s="20" t="str">
        <x:v>Part Two — Cursive Simplifications</x:v>
      </x:c>
      <x:c r="F479" s="20" t="str"/>
      <x:c r="G479" s="20" t="str">
        <x:v>柬</x:v>
      </x:c>
      <x:c r="H479" s="20" t="str">
        <x:v>柬</x:v>
      </x:c>
      <x:c r="I479" s="20" t="str"/>
      <x:c r="J479" s="20" t="str">
        <x:v>67EC [TGH
1]</x:v>
      </x:c>
      <x:c r="K479" s="20" t="str"/>
      <x:c r="L479" s="20" t="str"/>
      <x:c r="M479" s="20" t="str"/>
      <x:c r="N479" s="20" t="str">
        <x:v>No code-point data extracted — manual review</x:v>
      </x:c>
      <x:c r="O479" s="20" t="str">
        <x:v>Medium</x:v>
      </x:c>
      <x:c r="P479" s="20" t="str">
        <x:v>Structured</x:v>
      </x:c>
      <x:c r="Q479" s="20" t="str">
        <x:v>2.5.004 |  | 柬 | 柬 | 67EC [TGH / 1] | </x:v>
      </x:c>
      <x:c r="R479" s="20" t="str">
        <x:v>Uploaded: n2924-SecondStageSimplificationStatusv3.pdf</x:v>
      </x:c>
    </x:row>
    <x:row r="480">
      <x:c r="A480" s="20" t="str">
        <x:v>2.5.005</x:v>
      </x:c>
      <x:c r="B480" s="20" t="n">
        <x:v>57</x:v>
      </x:c>
      <x:c r="C480" s="20" t="str">
        <x:v>Part Two</x:v>
      </x:c>
      <x:c r="D480" s="20" t="str">
        <x:v>2.5</x:v>
      </x:c>
      <x:c r="E480" s="20" t="str">
        <x:v>Part Two — Cursive Simplifications</x:v>
      </x:c>
      <x:c r="F480" s="20" t="str"/>
      <x:c r="G480" s="20" t="str">
        <x:v>阑</x:v>
      </x:c>
      <x:c r="H480" s="20" t="str">
        <x:v>阑斓</x:v>
      </x:c>
      <x:c r="I480" s="20" t="str"/>
      <x:c r="J480" s="20" t="str">
        <x:v>9611 [TGH
2]
6593 [TGH
2]</x:v>
      </x:c>
      <x:c r="K480" s="20" t="str"/>
      <x:c r="L480" s="20" t="str"/>
      <x:c r="M480" s="20" t="str"/>
      <x:c r="N480" s="20" t="str">
        <x:v>No code-point data extracted — manual review</x:v>
      </x:c>
      <x:c r="O480" s="20" t="str">
        <x:v>Medium</x:v>
      </x:c>
      <x:c r="P480" s="20" t="str">
        <x:v>Structured</x:v>
      </x:c>
      <x:c r="Q480" s="20" t="str">
        <x:v>2.5.005 |  | 阑 | 阑斓 | 9611 [TGH / 2] / 6593 [TGH / 2] | </x:v>
      </x:c>
      <x:c r="R480" s="20" t="str">
        <x:v>Uploaded: n2924-SecondStageSimplificationStatusv3.pdf</x:v>
      </x:c>
    </x:row>
    <x:row r="481">
      <x:c r="A481" s="20" t="str">
        <x:v>2.5.006</x:v>
      </x:c>
      <x:c r="B481" s="20" t="n">
        <x:v>57</x:v>
      </x:c>
      <x:c r="C481" s="20" t="str">
        <x:v>Part Two</x:v>
      </x:c>
      <x:c r="D481" s="20" t="str">
        <x:v>2.5</x:v>
      </x:c>
      <x:c r="E481" s="20" t="str">
        <x:v>Part Two — Cursive Simplifications</x:v>
      </x:c>
      <x:c r="F481" s="20" t="str"/>
      <x:c r="G481" s="20" t="str">
        <x:v>贸</x:v>
      </x:c>
      <x:c r="H481" s="20" t="str">
        <x:v>贸</x:v>
      </x:c>
      <x:c r="I481" s="20" t="str"/>
      <x:c r="J481" s="20" t="str">
        <x:v>8D38 [TGH
1]</x:v>
      </x:c>
      <x:c r="K481" s="20" t="str"/>
      <x:c r="L481" s="20" t="str"/>
      <x:c r="M481" s="20" t="str"/>
      <x:c r="N481" s="20" t="str">
        <x:v>No code-point data extracted — manual review</x:v>
      </x:c>
      <x:c r="O481" s="20" t="str">
        <x:v>Medium</x:v>
      </x:c>
      <x:c r="P481" s="20" t="str">
        <x:v>Structured</x:v>
      </x:c>
      <x:c r="Q481" s="20" t="str">
        <x:v>2.5.006 |  | 贸 | 贸 | 8D38 [TGH / 1] | </x:v>
      </x:c>
      <x:c r="R481" s="20" t="str">
        <x:v>Uploaded: n2924-SecondStageSimplificationStatusv3.pdf</x:v>
      </x:c>
    </x:row>
    <x:row r="482">
      <x:c r="A482" s="20" t="str">
        <x:v>2.5.007</x:v>
      </x:c>
      <x:c r="B482" s="20" t="n">
        <x:v>57</x:v>
      </x:c>
      <x:c r="C482" s="20" t="str">
        <x:v>Part Two</x:v>
      </x:c>
      <x:c r="D482" s="20" t="str">
        <x:v>2.5</x:v>
      </x:c>
      <x:c r="E482" s="20" t="str">
        <x:v>Part Two — Cursive Simplifications</x:v>
      </x:c>
      <x:c r="F482" s="20" t="str"/>
      <x:c r="G482" s="20" t="str">
        <x:v>照</x:v>
      </x:c>
      <x:c r="H482" s="20" t="str">
        <x:v>照</x:v>
      </x:c>
      <x:c r="I482" s="20" t="str"/>
      <x:c r="J482" s="20" t="str">
        <x:v>7167 [TGH
1]</x:v>
      </x:c>
      <x:c r="K482" s="20" t="str"/>
      <x:c r="L482" s="20" t="str"/>
      <x:c r="M482" s="20" t="str"/>
      <x:c r="N482" s="20" t="str">
        <x:v>No code-point data extracted — manual review</x:v>
      </x:c>
      <x:c r="O482" s="20" t="str">
        <x:v>Medium</x:v>
      </x:c>
      <x:c r="P482" s="20" t="str">
        <x:v>Structured</x:v>
      </x:c>
      <x:c r="Q482" s="20" t="str">
        <x:v>2.5.007 |  | 照 | 照 | 7167 [TGH / 1] | </x:v>
      </x:c>
      <x:c r="R482" s="20" t="str">
        <x:v>Uploaded: n2924-SecondStageSimplificationStatusv3.pdf</x:v>
      </x:c>
    </x:row>
    <x:row r="483">
      <x:c r="A483" s="20" t="str">
        <x:v>2.5.008</x:v>
      </x:c>
      <x:c r="B483" s="20" t="n">
        <x:v>57</x:v>
      </x:c>
      <x:c r="C483" s="20" t="str">
        <x:v>Part Two</x:v>
      </x:c>
      <x:c r="D483" s="20" t="str">
        <x:v>2.5</x:v>
      </x:c>
      <x:c r="E483" s="20" t="str">
        <x:v>Part Two — Cursive Simplifications</x:v>
      </x:c>
      <x:c r="F483" s="20" t="str"/>
      <x:c r="G483" s="20" t="str">
        <x:v>票</x:v>
      </x:c>
      <x:c r="H483" s="20" t="str">
        <x:v>票</x:v>
      </x:c>
      <x:c r="I483" s="20" t="str"/>
      <x:c r="J483" s="20" t="str">
        <x:v>7968 [TGH
1]</x:v>
      </x:c>
      <x:c r="K483" s="20" t="str"/>
      <x:c r="L483" s="20" t="str"/>
      <x:c r="M483" s="20" t="str"/>
      <x:c r="N483" s="20" t="str">
        <x:v>No code-point data extracted — manual review</x:v>
      </x:c>
      <x:c r="O483" s="20" t="str">
        <x:v>Medium</x:v>
      </x:c>
      <x:c r="P483" s="20" t="str">
        <x:v>Structured</x:v>
      </x:c>
      <x:c r="Q483" s="20" t="str">
        <x:v>2.5.008 |  | 票 | 票 | 7968 [TGH / 1] | </x:v>
      </x:c>
      <x:c r="R483" s="20" t="str">
        <x:v>Uploaded: n2924-SecondStageSimplificationStatusv3.pdf</x:v>
      </x:c>
    </x:row>
    <x:row r="484">
      <x:c r="A484" s="20" t="str">
        <x:v>2.5.009</x:v>
      </x:c>
      <x:c r="B484" s="20" t="n">
        <x:v>57</x:v>
      </x:c>
      <x:c r="C484" s="20" t="str">
        <x:v>Part Two</x:v>
      </x:c>
      <x:c r="D484" s="20" t="str">
        <x:v>2.5</x:v>
      </x:c>
      <x:c r="E484" s="20" t="str">
        <x:v>Part Two — Cursive Simplifications</x:v>
      </x:c>
      <x:c r="F484" s="20" t="str"/>
      <x:c r="G484" s="20" t="str">
        <x:v>要</x:v>
      </x:c>
      <x:c r="H484" s="20" t="str">
        <x:v>要</x:v>
      </x:c>
      <x:c r="I484" s="20" t="str"/>
      <x:c r="J484" s="20" t="str">
        <x:v>8981 [TGH
1]</x:v>
      </x:c>
      <x:c r="K484" s="20" t="str"/>
      <x:c r="L484" s="20" t="str"/>
      <x:c r="M484" s="20" t="str"/>
      <x:c r="N484" s="20" t="str">
        <x:v>No code-point data extracted — manual review</x:v>
      </x:c>
      <x:c r="O484" s="20" t="str">
        <x:v>Medium</x:v>
      </x:c>
      <x:c r="P484" s="20" t="str">
        <x:v>Structured</x:v>
      </x:c>
      <x:c r="Q484" s="20" t="str">
        <x:v>2.5.009 |  | 要 | 要 | 8981 [TGH / 1] | </x:v>
      </x:c>
      <x:c r="R484" s="20" t="str">
        <x:v>Uploaded: n2924-SecondStageSimplificationStatusv3.pdf</x:v>
      </x:c>
    </x:row>
    <x:row r="485">
      <x:c r="A485" s="20" t="str">
        <x:v>2.5.010</x:v>
      </x:c>
      <x:c r="B485" s="20" t="n">
        <x:v>57</x:v>
      </x:c>
      <x:c r="C485" s="20" t="str">
        <x:v>Part Two</x:v>
      </x:c>
      <x:c r="D485" s="20" t="str">
        <x:v>2.5</x:v>
      </x:c>
      <x:c r="E485" s="20" t="str">
        <x:v>Part Two — Cursive Simplifications</x:v>
      </x:c>
      <x:c r="F485" s="20" t="str"/>
      <x:c r="G485" s="20" t="str">
        <x:v>其</x:v>
      </x:c>
      <x:c r="H485" s="20" t="str">
        <x:v>其</x:v>
      </x:c>
      <x:c r="I485" s="20" t="str"/>
      <x:c r="J485" s="20" t="str">
        <x:v>5176 [TGH
1]</x:v>
      </x:c>
      <x:c r="K485" s="20" t="str"/>
      <x:c r="L485" s="20" t="str"/>
      <x:c r="M485" s="20" t="str"/>
      <x:c r="N485" s="20" t="str">
        <x:v>No code-point data extracted — manual review</x:v>
      </x:c>
      <x:c r="O485" s="20" t="str">
        <x:v>Medium</x:v>
      </x:c>
      <x:c r="P485" s="20" t="str">
        <x:v>Structured</x:v>
      </x:c>
      <x:c r="Q485" s="20" t="str">
        <x:v>2.5.010 |  | 其 | 其 | 5176 [TGH / 1] | </x:v>
      </x:c>
      <x:c r="R485" s="20" t="str">
        <x:v>Uploaded: n2924-SecondStageSimplificationStatusv3.pdf</x:v>
      </x:c>
    </x:row>
    <x:row r="486">
      <x:c r="A486" s="20" t="str">
        <x:v>2.5.011</x:v>
      </x:c>
      <x:c r="B486" s="20" t="n">
        <x:v>57</x:v>
      </x:c>
      <x:c r="C486" s="20" t="str">
        <x:v>Part Two</x:v>
      </x:c>
      <x:c r="D486" s="20" t="str">
        <x:v>2.5</x:v>
      </x:c>
      <x:c r="E486" s="20" t="str">
        <x:v>Part Two — Cursive Simplifications</x:v>
      </x:c>
      <x:c r="F486" s="20" t="str"/>
      <x:c r="G486" s="20" t="str">
        <x:v>夏</x:v>
      </x:c>
      <x:c r="H486" s="20" t="str">
        <x:v>夏</x:v>
      </x:c>
      <x:c r="I486" s="20" t="str"/>
      <x:c r="J486" s="20" t="str">
        <x:v>590F [TGH
1]</x:v>
      </x:c>
      <x:c r="K486" s="20" t="str"/>
      <x:c r="L486" s="20" t="str"/>
      <x:c r="M486" s="20" t="str"/>
      <x:c r="N486" s="20" t="str">
        <x:v>No code-point data extracted — manual review</x:v>
      </x:c>
      <x:c r="O486" s="20" t="str">
        <x:v>Medium</x:v>
      </x:c>
      <x:c r="P486" s="20" t="str">
        <x:v>Structured</x:v>
      </x:c>
      <x:c r="Q486" s="20" t="str">
        <x:v>2.5.011 |  | 夏 | 夏 | 590F [TGH / 1] | </x:v>
      </x:c>
      <x:c r="R486" s="20" t="str">
        <x:v>Uploaded: n2924-SecondStageSimplificationStatusv3.pdf</x:v>
      </x:c>
    </x:row>
    <x:row r="487">
      <x:c r="A487" s="20" t="str">
        <x:v>2.5.012</x:v>
      </x:c>
      <x:c r="B487" s="20" t="n">
        <x:v>57</x:v>
      </x:c>
      <x:c r="C487" s="20" t="str">
        <x:v>Part Two</x:v>
      </x:c>
      <x:c r="D487" s="20" t="str">
        <x:v>2.5</x:v>
      </x:c>
      <x:c r="E487" s="20" t="str">
        <x:v>Part Two — Cursive Simplifications</x:v>
      </x:c>
      <x:c r="F487" s="20" t="str"/>
      <x:c r="G487" s="20" t="str">
        <x:v>身</x:v>
      </x:c>
      <x:c r="H487" s="20" t="str">
        <x:v>身</x:v>
      </x:c>
      <x:c r="I487" s="20" t="str"/>
      <x:c r="J487" s="20" t="str">
        <x:v>8EAB [TGH
1]</x:v>
      </x:c>
      <x:c r="K487" s="20" t="str"/>
      <x:c r="L487" s="20" t="str"/>
      <x:c r="M487" s="20" t="str"/>
      <x:c r="N487" s="20" t="str">
        <x:v>No code-point data extracted — manual review</x:v>
      </x:c>
      <x:c r="O487" s="20" t="str">
        <x:v>Medium</x:v>
      </x:c>
      <x:c r="P487" s="20" t="str">
        <x:v>Structured</x:v>
      </x:c>
      <x:c r="Q487" s="20" t="str">
        <x:v>2.5.012 |  | 身 | 身 | 8EAB [TGH / 1] | </x:v>
      </x:c>
      <x:c r="R487" s="20" t="str">
        <x:v>Uploaded: n2924-SecondStageSimplificationStatusv3.pdf</x:v>
      </x:c>
    </x:row>
    <x:row r="488">
      <x:c r="A488" s="20" t="str">
        <x:v>2.5.013</x:v>
      </x:c>
      <x:c r="B488" s="20" t="n">
        <x:v>57</x:v>
      </x:c>
      <x:c r="C488" s="20" t="str">
        <x:v>Part Two</x:v>
      </x:c>
      <x:c r="D488" s="20" t="str">
        <x:v>2.5</x:v>
      </x:c>
      <x:c r="E488" s="20" t="str">
        <x:v>Part Two — Cursive Simplifications</x:v>
      </x:c>
      <x:c r="F488" s="20" t="str"/>
      <x:c r="G488" s="20" t="str">
        <x:v>事</x:v>
      </x:c>
      <x:c r="H488" s="20" t="str">
        <x:v>事</x:v>
      </x:c>
      <x:c r="I488" s="20" t="str"/>
      <x:c r="J488" s="20" t="str">
        <x:v>4E8B [TGH
1]</x:v>
      </x:c>
      <x:c r="K488" s="20" t="str"/>
      <x:c r="L488" s="20" t="str"/>
      <x:c r="M488" s="20" t="str"/>
      <x:c r="N488" s="20" t="str">
        <x:v>No code-point data extracted — manual review</x:v>
      </x:c>
      <x:c r="O488" s="20" t="str">
        <x:v>Medium</x:v>
      </x:c>
      <x:c r="P488" s="20" t="str">
        <x:v>Structured</x:v>
      </x:c>
      <x:c r="Q488" s="20" t="str">
        <x:v>2.5.013 |  | 事 | 事 | 4E8B [TGH / 1] | </x:v>
      </x:c>
      <x:c r="R488" s="20" t="str">
        <x:v>Uploaded: n2924-SecondStageSimplificationStatusv3.pdf</x:v>
      </x:c>
    </x:row>
    <x:row r="489">
      <x:c r="A489" s="20" t="str">
        <x:v>2.5.014</x:v>
      </x:c>
      <x:c r="B489" s="20" t="n">
        <x:v>57</x:v>
      </x:c>
      <x:c r="C489" s="20" t="str">
        <x:v>Part Two</x:v>
      </x:c>
      <x:c r="D489" s="20" t="str">
        <x:v>2.5</x:v>
      </x:c>
      <x:c r="E489" s="20" t="str">
        <x:v>Part Two — Cursive Simplifications</x:v>
      </x:c>
      <x:c r="F489" s="20" t="str"/>
      <x:c r="G489" s="20" t="str">
        <x:v>高</x:v>
      </x:c>
      <x:c r="H489" s="20" t="str">
        <x:v>高</x:v>
      </x:c>
      <x:c r="I489" s="20" t="str"/>
      <x:c r="J489" s="20" t="str">
        <x:v>9AD8 [TGH
1]</x:v>
      </x:c>
      <x:c r="K489" s="20" t="str"/>
      <x:c r="L489" s="20" t="str"/>
      <x:c r="M489" s="20" t="str"/>
      <x:c r="N489" s="20" t="str">
        <x:v>No code-point data extracted — manual review</x:v>
      </x:c>
      <x:c r="O489" s="20" t="str">
        <x:v>Medium</x:v>
      </x:c>
      <x:c r="P489" s="20" t="str">
        <x:v>Structured</x:v>
      </x:c>
      <x:c r="Q489" s="20" t="str">
        <x:v>2.5.014 |  | 高 | 高 | 9AD8 [TGH / 1] | </x:v>
      </x:c>
      <x:c r="R489" s="20" t="str">
        <x:v>Uploaded: n2924-SecondStageSimplificationStatusv3.pdf</x:v>
      </x:c>
    </x:row>
    <x:row r="490">
      <x:c r="A490" s="20" t="str">
        <x:v>2.5.015</x:v>
      </x:c>
      <x:c r="B490" s="20" t="n">
        <x:v>58</x:v>
      </x:c>
      <x:c r="C490" s="20" t="str">
        <x:v>Part Two</x:v>
      </x:c>
      <x:c r="D490" s="20" t="str">
        <x:v>2.5</x:v>
      </x:c>
      <x:c r="E490" s="20" t="str">
        <x:v>Part Two — Cursive Simplifications</x:v>
      </x:c>
      <x:c r="F490" s="20" t="str"/>
      <x:c r="G490" s="20" t="str">
        <x:v>薛</x:v>
      </x:c>
      <x:c r="H490" s="20" t="str">
        <x:v>薛</x:v>
      </x:c>
      <x:c r="I490" s="20" t="str"/>
      <x:c r="J490" s="20" t="str">
        <x:v>859B [TGH
1]</x:v>
      </x:c>
      <x:c r="K490" s="20" t="str"/>
      <x:c r="L490" s="20" t="str"/>
      <x:c r="M490" s="20" t="str"/>
      <x:c r="N490" s="20" t="str">
        <x:v>No code-point data extracted — manual review</x:v>
      </x:c>
      <x:c r="O490" s="20" t="str">
        <x:v>Medium</x:v>
      </x:c>
      <x:c r="P490" s="20" t="str">
        <x:v>Structured</x:v>
      </x:c>
      <x:c r="Q490" s="20" t="str">
        <x:v>2.5.015 |  | 薛 | 薛 | 859B [TGH / 1] | </x:v>
      </x:c>
      <x:c r="R490" s="20" t="str">
        <x:v>Uploaded: n2924-SecondStageSimplificationStatusv3.pdf</x:v>
      </x:c>
    </x:row>
    <x:row r="491">
      <x:c r="A491" s="20" t="str">
        <x:v>2.5.016</x:v>
      </x:c>
      <x:c r="B491" s="20" t="n">
        <x:v>58</x:v>
      </x:c>
      <x:c r="C491" s="20" t="str">
        <x:v>Part Two</x:v>
      </x:c>
      <x:c r="D491" s="20" t="str">
        <x:v>2.5</x:v>
      </x:c>
      <x:c r="E491" s="20" t="str">
        <x:v>Part Two — Cursive Simplifications</x:v>
      </x:c>
      <x:c r="F491" s="20" t="str"/>
      <x:c r="G491" s="20" t="str">
        <x:v>壹</x:v>
      </x:c>
      <x:c r="H491" s="20" t="str">
        <x:v>壹</x:v>
      </x:c>
      <x:c r="I491" s="20" t="str"/>
      <x:c r="J491" s="20" t="str">
        <x:v>58F9 [TGH
1]</x:v>
      </x:c>
      <x:c r="K491" s="20" t="str"/>
      <x:c r="L491" s="20" t="str"/>
      <x:c r="M491" s="20" t="str"/>
      <x:c r="N491" s="20" t="str">
        <x:v>No code-point data extracted — manual review</x:v>
      </x:c>
      <x:c r="O491" s="20" t="str">
        <x:v>Medium</x:v>
      </x:c>
      <x:c r="P491" s="20" t="str">
        <x:v>Structured</x:v>
      </x:c>
      <x:c r="Q491" s="20" t="str">
        <x:v>2.5.016 |  | 壹 | 壹 | 58F9 [TGH / 1] | </x:v>
      </x:c>
      <x:c r="R491" s="20" t="str">
        <x:v>Uploaded: n2924-SecondStageSimplificationStatusv3.pdf</x:v>
      </x:c>
    </x:row>
    <x:row r="492">
      <x:c r="A492" s="20" t="str">
        <x:v>2.6.001</x:v>
      </x:c>
      <x:c r="B492" s="20" t="n">
        <x:v>58</x:v>
      </x:c>
      <x:c r="C492" s="20" t="str">
        <x:v>Part Two</x:v>
      </x:c>
      <x:c r="D492" s="20" t="str">
        <x:v>2.6</x:v>
      </x:c>
      <x:c r="E492" s="20" t="str">
        <x:v>Part Two — Semantic Simplifications</x:v>
      </x:c>
      <x:c r="F492" s="20" t="str">
        <x:v>4EE6
[UNUSED]</x:v>
      </x:c>
      <x:c r="G492" s="20" t="str"/>
      <x:c r="H492" s="20" t="str"/>
      <x:c r="I492" s="20" t="str"/>
      <x:c r="J492" s="20" t="str">
        <x:v>77EE [TGH
1]</x:v>
      </x:c>
      <x:c r="K492" s="20" t="str"/>
      <x:c r="L492" s="20" t="str">
        <x:v>U+4EE6</x:v>
      </x:c>
      <x:c r="M492" s="20" t="str">
        <x:v>CJK Unified Ideographs</x:v>
      </x:c>
      <x:c r="N492" s="20" t="str">
        <x:v>Unicode code point recorded</x:v>
      </x:c>
      <x:c r="O492" s="20" t="str">
        <x:v>Low</x:v>
      </x:c>
      <x:c r="P492" s="20" t="str">
        <x:v>Structured</x:v>
      </x:c>
      <x:c r="Q492" s="20" t="str">
        <x:v>2.6.001 | 4EE6 / [UNUSED] |  |  | 77EE [TGH / 1] | </x:v>
      </x:c>
      <x:c r="R492" s="20" t="str">
        <x:v>Uploaded: n2924-SecondStageSimplificationStatusv3.pdf</x:v>
      </x:c>
    </x:row>
    <x:row r="493">
      <x:c r="A493" s="20" t="str">
        <x:v>2.6.002</x:v>
      </x:c>
      <x:c r="B493" s="20" t="n">
        <x:v>58</x:v>
      </x:c>
      <x:c r="C493" s="20" t="str">
        <x:v>Part Two</x:v>
      </x:c>
      <x:c r="D493" s="20" t="str">
        <x:v>2.6</x:v>
      </x:c>
      <x:c r="E493" s="20" t="str">
        <x:v>Part Two — Semantic Simplifications</x:v>
      </x:c>
      <x:c r="F493" s="20" t="str">
        <x:v>201A3
[UNUSED]</x:v>
      </x:c>
      <x:c r="G493" s="20" t="str">
        <x:v>仦
𠆣𠆣</x:v>
      </x:c>
      <x:c r="H493" s="20" t="str">
        <x:v>矮</x:v>
      </x:c>
      <x:c r="I493" s="20" t="str"/>
      <x:c r="J493" s="20" t="str">
        <x:v>5BE1 [TGH
1]</x:v>
      </x:c>
      <x:c r="K493" s="20" t="str"/>
      <x:c r="L493" s="20" t="str">
        <x:v>U+201A3</x:v>
      </x:c>
      <x:c r="M493" s="20" t="str">
        <x:v>CJK Unified Ideographs Extension B</x:v>
      </x:c>
      <x:c r="N493" s="20" t="str">
        <x:v>Unicode code point recorded</x:v>
      </x:c>
      <x:c r="O493" s="20" t="str">
        <x:v>Low</x:v>
      </x:c>
      <x:c r="P493" s="20" t="str">
        <x:v>Structured</x:v>
      </x:c>
      <x:c r="Q493" s="20" t="str">
        <x:v>2.6.002 | 201A3 / [UNUSED] | 仦 / 𠆣𠆣 | 矮 | 5BE1 [TGH / 1] | </x:v>
      </x:c>
      <x:c r="R493" s="20" t="str">
        <x:v>Uploaded: n2924-SecondStageSimplificationStatusv3.pdf</x:v>
      </x:c>
    </x:row>
    <x:row r="494">
      <x:c r="A494" s="20" t="str">
        <x:v>2.6.003</x:v>
      </x:c>
      <x:c r="B494" s="20" t="n">
        <x:v>58</x:v>
      </x:c>
      <x:c r="C494" s="20" t="str">
        <x:v>Part Two</x:v>
      </x:c>
      <x:c r="D494" s="20" t="str">
        <x:v>2.6</x:v>
      </x:c>
      <x:c r="E494" s="20" t="str">
        <x:v>Part Two — Semantic Simplifications</x:v>
      </x:c>
      <x:c r="F494" s="20" t="str">
        <x:v>4EBC
[UNUSED H]</x:v>
      </x:c>
      <x:c r="G494" s="20" t="str"/>
      <x:c r="H494" s="20" t="str">
        <x:v>寡</x:v>
      </x:c>
      <x:c r="I494" s="20" t="str"/>
      <x:c r="J494" s="20" t="str">
        <x:v>96C6 [TGH
1]</x:v>
      </x:c>
      <x:c r="K494" s="20" t="str"/>
      <x:c r="L494" s="20" t="str">
        <x:v>U+4EBC</x:v>
      </x:c>
      <x:c r="M494" s="20" t="str">
        <x:v>CJK Unified Ideographs</x:v>
      </x:c>
      <x:c r="N494" s="20" t="str">
        <x:v>Unicode code point recorded</x:v>
      </x:c>
      <x:c r="O494" s="20" t="str">
        <x:v>Low</x:v>
      </x:c>
      <x:c r="P494" s="20" t="str">
        <x:v>Structured</x:v>
      </x:c>
      <x:c r="Q494" s="20" t="str">
        <x:v>2.6.003 | 4EBC / [UNUSED H] |  | 寡 | 96C6 [TGH / 1] | </x:v>
      </x:c>
      <x:c r="R494" s="20" t="str">
        <x:v>Uploaded: n2924-SecondStageSimplificationStatusv3.pdf</x:v>
      </x:c>
    </x:row>
    <x:row r="495">
      <x:c r="A495" s="20" t="str">
        <x:v>2.6.004</x:v>
      </x:c>
      <x:c r="B495" s="20" t="n">
        <x:v>58</x:v>
      </x:c>
      <x:c r="C495" s="20" t="str">
        <x:v>Part Two</x:v>
      </x:c>
      <x:c r="D495" s="20" t="str">
        <x:v>2.6</x:v>
      </x:c>
      <x:c r="E495" s="20" t="str">
        <x:v>Part Two — Semantic Simplifications</x:v>
      </x:c>
      <x:c r="F495" s="20" t="str">
        <x:v>219BC
[UNUSED]</x:v>
      </x:c>
      <x:c r="G495" s="20" t="str">
        <x:v>亼
𡦼𡦼</x:v>
      </x:c>
      <x:c r="H495" s="20" t="str">
        <x:v>集</x:v>
      </x:c>
      <x:c r="I495" s="20" t="str"/>
      <x:c r="J495" s="20" t="str">
        <x:v>5BB6 [TGH
1]</x:v>
      </x:c>
      <x:c r="K495" s="20" t="str"/>
      <x:c r="L495" s="20" t="str">
        <x:v>U+219BC</x:v>
      </x:c>
      <x:c r="M495" s="20" t="str">
        <x:v>CJK Unified Ideographs Extension B</x:v>
      </x:c>
      <x:c r="N495" s="20" t="str">
        <x:v>Unicode code point recorded</x:v>
      </x:c>
      <x:c r="O495" s="20" t="str">
        <x:v>Low</x:v>
      </x:c>
      <x:c r="P495" s="20" t="str">
        <x:v>Structured</x:v>
      </x:c>
      <x:c r="Q495" s="20" t="str">
        <x:v>2.6.004 | 219BC / [UNUSED] | 亼 / 𡦼𡦼 | 集 | 5BB6 [TGH / 1] | </x:v>
      </x:c>
      <x:c r="R495" s="20" t="str">
        <x:v>Uploaded: n2924-SecondStageSimplificationStatusv3.pdf</x:v>
      </x:c>
    </x:row>
    <x:row r="496">
      <x:c r="A496" s="20" t="str">
        <x:v>2.6.005</x:v>
      </x:c>
      <x:c r="B496" s="20" t="n">
        <x:v>58</x:v>
      </x:c>
      <x:c r="C496" s="20" t="str">
        <x:v>Part Two</x:v>
      </x:c>
      <x:c r="D496" s="20" t="str">
        <x:v>2.6</x:v>
      </x:c>
      <x:c r="E496" s="20" t="str">
        <x:v>Part Two — Semantic Simplifications</x:v>
      </x:c>
      <x:c r="F496" s="20" t="str"/>
      <x:c r="G496" s="20" t="str">
        <x:v>聚</x:v>
      </x:c>
      <x:c r="H496" s="20" t="str">
        <x:v>家</x:v>
      </x:c>
      <x:c r="I496" s="20" t="str"/>
      <x:c r="J496" s="20" t="str">
        <x:v>805A [TGH
1]</x:v>
      </x:c>
      <x:c r="K496" s="20" t="str"/>
      <x:c r="L496" s="20" t="str"/>
      <x:c r="M496" s="20" t="str"/>
      <x:c r="N496" s="20" t="str">
        <x:v>No code-point data extracted — manual review</x:v>
      </x:c>
      <x:c r="O496" s="20" t="str">
        <x:v>Medium</x:v>
      </x:c>
      <x:c r="P496" s="20" t="str">
        <x:v>Structured</x:v>
      </x:c>
      <x:c r="Q496" s="20" t="str">
        <x:v>2.6.005 |  | 聚 | 家 | 805A [TGH / 1] | </x:v>
      </x:c>
      <x:c r="R496" s="20" t="str">
        <x:v>Uploaded: n2924-SecondStageSimplificationStatusv3.pdf</x:v>
      </x:c>
    </x:row>
    <x:row r="497">
      <x:c r="A497" s="20" t="str">
        <x:v>2.6.006</x:v>
      </x:c>
      <x:c r="B497" s="20" t="n">
        <x:v>58</x:v>
      </x:c>
      <x:c r="C497" s="20" t="str">
        <x:v>Part Two</x:v>
      </x:c>
      <x:c r="D497" s="20" t="str">
        <x:v>2.6</x:v>
      </x:c>
      <x:c r="E497" s="20" t="str">
        <x:v>Part Two — Semantic Simplifications</x:v>
      </x:c>
      <x:c r="F497" s="20" t="str">
        <x:v>24182
[UNUSED]</x:v>
      </x:c>
      <x:c r="G497" s="20" t="str">
        <x:v>𤆂𤆂</x:v>
      </x:c>
      <x:c r="H497" s="20" t="str">
        <x:v>聚</x:v>
      </x:c>
      <x:c r="I497" s="20" t="str"/>
      <x:c r="J497" s="20" t="str">
        <x:v>71C3 [TGH
1]</x:v>
      </x:c>
      <x:c r="K497" s="20" t="str"/>
      <x:c r="L497" s="20" t="str">
        <x:v>U+24182</x:v>
      </x:c>
      <x:c r="M497" s="20" t="str">
        <x:v>CJK Unified Ideographs Extension B</x:v>
      </x:c>
      <x:c r="N497" s="20" t="str">
        <x:v>Unicode code point recorded</x:v>
      </x:c>
      <x:c r="O497" s="20" t="str">
        <x:v>Low</x:v>
      </x:c>
      <x:c r="P497" s="20" t="str">
        <x:v>Structured</x:v>
      </x:c>
      <x:c r="Q497" s="20" t="str">
        <x:v>2.6.006 | 24182 / [UNUSED] | 𤆂𤆂 | 聚 | 71C3 [TGH / 1] | </x:v>
      </x:c>
      <x:c r="R497" s="20" t="str">
        <x:v>Uploaded: n2924-SecondStageSimplificationStatusv3.pdf</x:v>
      </x:c>
    </x:row>
    <x:row r="498">
      <x:c r="A498" s="20" t="str">
        <x:v>2.7.001</x:v>
      </x:c>
      <x:c r="B498" s="20" t="n">
        <x:v>58</x:v>
      </x:c>
      <x:c r="C498" s="20" t="str">
        <x:v>Part Two</x:v>
      </x:c>
      <x:c r="D498" s="20" t="str">
        <x:v>2.7</x:v>
      </x:c>
      <x:c r="E498" s="20" t="str">
        <x:v>Part Two — Symbolic Simplifications</x:v>
      </x:c>
      <x:c r="F498" s="20" t="str">
        <x:v>5208 [TGH
2]</x:v>
      </x:c>
      <x:c r="G498" s="20" t="str"/>
      <x:c r="H498" s="20" t="str"/>
      <x:c r="I498" s="20" t="str"/>
      <x:c r="J498" s="20" t="str">
        <x:v>5272 [TGH
1]</x:v>
      </x:c>
      <x:c r="K498" s="20" t="str"/>
      <x:c r="L498" s="20" t="str">
        <x:v>U+5208</x:v>
      </x:c>
      <x:c r="M498" s="20" t="str">
        <x:v>CJK Unified Ideographs</x:v>
      </x:c>
      <x:c r="N498" s="20" t="str">
        <x:v>Unicode code point recorded</x:v>
      </x:c>
      <x:c r="O498" s="20" t="str">
        <x:v>Low</x:v>
      </x:c>
      <x:c r="P498" s="20" t="str">
        <x:v>Structured</x:v>
      </x:c>
      <x:c r="Q498" s="20" t="str">
        <x:v>2.7.001 | 5208 [TGH / 2] |  |  | 5272 [TGH / 1] | </x:v>
      </x:c>
      <x:c r="R498" s="20" t="str">
        <x:v>Uploaded: n2924-SecondStageSimplificationStatusv3.pdf</x:v>
      </x:c>
    </x:row>
    <x:row r="499">
      <x:c r="A499" s="20" t="str">
        <x:v>2.7.002</x:v>
      </x:c>
      <x:c r="B499" s="20" t="n">
        <x:v>58</x:v>
      </x:c>
      <x:c r="C499" s="20" t="str">
        <x:v>Part Two</x:v>
      </x:c>
      <x:c r="D499" s="20" t="str">
        <x:v>2.7</x:v>
      </x:c>
      <x:c r="E499" s="20" t="str">
        <x:v>Part Two — Symbolic Simplifications</x:v>
      </x:c>
      <x:c r="F499" s="20" t="str"/>
      <x:c r="G499" s="20" t="str">
        <x:v>刈
奥</x:v>
      </x:c>
      <x:c r="H499" s="20" t="str">
        <x:v>割</x:v>
      </x:c>
      <x:c r="I499" s="20" t="str"/>
      <x:c r="J499" s="20" t="str">
        <x:v>5965 [TGH
1]</x:v>
      </x:c>
      <x:c r="K499" s="20" t="str"/>
      <x:c r="L499" s="20" t="str"/>
      <x:c r="M499" s="20" t="str"/>
      <x:c r="N499" s="20" t="str">
        <x:v>No code-point data extracted — manual review</x:v>
      </x:c>
      <x:c r="O499" s="20" t="str">
        <x:v>Medium</x:v>
      </x:c>
      <x:c r="P499" s="20" t="str">
        <x:v>Structured</x:v>
      </x:c>
      <x:c r="Q499" s="20" t="str">
        <x:v>2.7.002 |  | 刈 / 奥 | 割 | 5965 [TGH / 1] | </x:v>
      </x:c>
      <x:c r="R499" s="20" t="str">
        <x:v>Uploaded: n2924-SecondStageSimplificationStatusv3.pdf</x:v>
      </x:c>
    </x:row>
    <x:row r="500">
      <x:c r="A500" s="20" t="str">
        <x:v>2.7.003</x:v>
      </x:c>
      <x:c r="B500" s="20" t="n">
        <x:v>58</x:v>
      </x:c>
      <x:c r="C500" s="20" t="str">
        <x:v>Part Two</x:v>
      </x:c>
      <x:c r="D500" s="20" t="str">
        <x:v>2.7</x:v>
      </x:c>
      <x:c r="E500" s="20" t="str">
        <x:v>Part Two — Symbolic Simplifications</x:v>
      </x:c>
      <x:c r="F500" s="20" t="str"/>
      <x:c r="G500" s="20" t="str">
        <x:v>粤</x:v>
      </x:c>
      <x:c r="H500" s="20" t="str">
        <x:v>奧</x:v>
      </x:c>
      <x:c r="I500" s="20" t="str"/>
      <x:c r="J500" s="20" t="str">
        <x:v>7CA4 [TGH
1]</x:v>
      </x:c>
      <x:c r="K500" s="20" t="str"/>
      <x:c r="L500" s="20" t="str"/>
      <x:c r="M500" s="20" t="str"/>
      <x:c r="N500" s="20" t="str">
        <x:v>No code-point data extracted — manual review</x:v>
      </x:c>
      <x:c r="O500" s="20" t="str">
        <x:v>Medium</x:v>
      </x:c>
      <x:c r="P500" s="20" t="str">
        <x:v>Structured</x:v>
      </x:c>
      <x:c r="Q500" s="20" t="str">
        <x:v>2.7.003 |  | 粤 | 奧 | 7CA4 [TGH / 1] | </x:v>
      </x:c>
      <x:c r="R500" s="20" t="str">
        <x:v>Uploaded: n2924-SecondStageSimplificationStatusv3.pdf</x:v>
      </x:c>
    </x:row>
    <x:row r="501">
      <x:c r="A501" s="20" t="str">
        <x:v>2.7.004</x:v>
      </x:c>
      <x:c r="B501" s="20" t="n">
        <x:v>58</x:v>
      </x:c>
      <x:c r="C501" s="20" t="str">
        <x:v>Part Two</x:v>
      </x:c>
      <x:c r="D501" s="20" t="str">
        <x:v>2.7</x:v>
      </x:c>
      <x:c r="E501" s="20" t="str">
        <x:v>Part Two — Symbolic Simplifications</x:v>
      </x:c>
      <x:c r="F501" s="20" t="str"/>
      <x:c r="G501" s="20" t="str">
        <x:v>韩</x:v>
      </x:c>
      <x:c r="H501" s="20" t="str">
        <x:v>粵</x:v>
      </x:c>
      <x:c r="I501" s="20" t="str"/>
      <x:c r="J501" s="20" t="str">
        <x:v>97E9 [TGH
1]</x:v>
      </x:c>
      <x:c r="K501" s="20" t="str"/>
      <x:c r="L501" s="20" t="str"/>
      <x:c r="M501" s="20" t="str"/>
      <x:c r="N501" s="20" t="str">
        <x:v>No code-point data extracted — manual review</x:v>
      </x:c>
      <x:c r="O501" s="20" t="str">
        <x:v>Medium</x:v>
      </x:c>
      <x:c r="P501" s="20" t="str">
        <x:v>Structured</x:v>
      </x:c>
      <x:c r="Q501" s="20" t="str">
        <x:v>2.7.004 |  | 韩 | 粵 | 97E9 [TGH / 1] | </x:v>
      </x:c>
      <x:c r="R501" s="20" t="str">
        <x:v>Uploaded: n2924-SecondStageSimplificationStatusv3.pdf</x:v>
      </x:c>
    </x:row>
    <x:row r="502">
      <x:c r="A502" s="20" t="str">
        <x:v>2.7.005</x:v>
      </x:c>
      <x:c r="B502" s="20" t="n">
        <x:v>58</x:v>
      </x:c>
      <x:c r="C502" s="20" t="str">
        <x:v>Part Two</x:v>
      </x:c>
      <x:c r="D502" s="20" t="str">
        <x:v>2.7</x:v>
      </x:c>
      <x:c r="E502" s="20" t="str">
        <x:v>Part Two — Symbolic Simplifications</x:v>
      </x:c>
      <x:c r="F502" s="20" t="str"/>
      <x:c r="G502" s="20" t="str">
        <x:v>魏</x:v>
      </x:c>
      <x:c r="H502" s="20" t="str">
        <x:v>韩</x:v>
      </x:c>
      <x:c r="I502" s="20" t="str"/>
      <x:c r="J502" s="20" t="str">
        <x:v>9B4F [TGH
1]</x:v>
      </x:c>
      <x:c r="K502" s="20" t="str"/>
      <x:c r="L502" s="20" t="str"/>
      <x:c r="M502" s="20" t="str"/>
      <x:c r="N502" s="20" t="str">
        <x:v>No code-point data extracted — manual review</x:v>
      </x:c>
      <x:c r="O502" s="20" t="str">
        <x:v>Medium</x:v>
      </x:c>
      <x:c r="P502" s="20" t="str">
        <x:v>Structured</x:v>
      </x:c>
      <x:c r="Q502" s="20" t="str">
        <x:v>2.7.005 |  | 魏 | 韩 | 9B4F [TGH / 1] | </x:v>
      </x:c>
      <x:c r="R502" s="20" t="str">
        <x:v>Uploaded: n2924-SecondStageSimplificationStatusv3.pdf</x:v>
      </x:c>
    </x:row>
    <x:row r="503">
      <x:c r="A503" s="20" t="str">
        <x:v>2.8.001</x:v>
      </x:c>
      <x:c r="B503" s="20" t="n">
        <x:v>59</x:v>
      </x:c>
      <x:c r="C503" s="20" t="str">
        <x:v>Part Two</x:v>
      </x:c>
      <x:c r="D503" s="20" t="str">
        <x:v>2.8</x:v>
      </x:c>
      <x:c r="E503" s="20" t="str">
        <x:v>Part Two — Generic Simplifications of Independent Characters</x:v>
      </x:c>
      <x:c r="F503" s="20" t="str">
        <x:v>653C
[UNUSED]</x:v>
      </x:c>
      <x:c r="G503" s="20" t="str">
        <x:v>攼</x:v>
      </x:c>
      <x:c r="H503" s="20" t="str">
        <x:v>敢</x:v>
      </x:c>
      <x:c r="I503" s="20" t="str"/>
      <x:c r="J503" s="20" t="str">
        <x:v>6562
[TGH 1]</x:v>
      </x:c>
      <x:c r="K503" s="20" t="str">
        <x:v>Pictophonetic
2.2.022</x:v>
      </x:c>
      <x:c r="L503" s="20" t="str">
        <x:v>U+653C</x:v>
      </x:c>
      <x:c r="M503" s="20" t="str">
        <x:v>CJK Unified Ideographs</x:v>
      </x:c>
      <x:c r="N503" s="20" t="str">
        <x:v>Unicode code point recorded</x:v>
      </x:c>
      <x:c r="O503" s="20" t="str">
        <x:v>Low</x:v>
      </x:c>
      <x:c r="P503" s="20" t="str">
        <x:v>Structured</x:v>
      </x:c>
      <x:c r="Q503" s="20" t="str">
        <x:v>2.8.001 | 653C / [UNUSED] | 攼 | 敢 | 6562 / [TGH 1] | Pictophonetic / 2.2.022</x:v>
      </x:c>
      <x:c r="R503" s="20" t="str">
        <x:v>Uploaded: n2924-SecondStageSimplificationStatusv3.pdf</x:v>
      </x:c>
    </x:row>
    <x:row r="504">
      <x:c r="A504" s="20" t="str">
        <x:v>2.8.002</x:v>
      </x:c>
      <x:c r="B504" s="20" t="str"/>
      <x:c r="C504" s="20" t="str">
        <x:v>Part Two</x:v>
      </x:c>
      <x:c r="D504" s="20" t="str">
        <x:v>2.8</x:v>
      </x:c>
      <x:c r="E504" s="20" t="str">
        <x:v>Part Two — Generic Simplifications of Independent Characters</x:v>
      </x:c>
      <x:c r="F504" s="20" t="str"/>
      <x:c r="G504" s="20" t="str"/>
      <x:c r="H504" s="20" t="str"/>
      <x:c r="I504" s="20" t="str"/>
      <x:c r="J504" s="20" t="str"/>
      <x:c r="K504" s="20" t="str"/>
      <x:c r="L504" s="20" t="str"/>
      <x:c r="M504" s="20" t="str"/>
      <x:c r="N504" s="20" t="str">
        <x:v>No code-point data extracted — manual review</x:v>
      </x:c>
      <x:c r="O504" s="20" t="str">
        <x:v>Medium</x:v>
      </x:c>
      <x:c r="P504" s="20" t="str">
        <x:v>Reference found in PDF text; table row not parsed</x:v>
      </x:c>
      <x:c r="Q504" s="20" t="str"/>
      <x:c r="R504" s="20" t="str">
        <x:v>Uploaded: n2924-SecondStageSimplificationStatusv3.pdf</x:v>
      </x:c>
    </x:row>
    <x:row r="505">
      <x:c r="A505" s="20" t="str">
        <x:v>2.8.003</x:v>
      </x:c>
      <x:c r="B505" s="20" t="str"/>
      <x:c r="C505" s="20" t="str">
        <x:v>Part Two</x:v>
      </x:c>
      <x:c r="D505" s="20" t="str">
        <x:v>2.8</x:v>
      </x:c>
      <x:c r="E505" s="20" t="str">
        <x:v>Part Two — Generic Simplifications of Independent Characters</x:v>
      </x:c>
      <x:c r="F505" s="20" t="str"/>
      <x:c r="G505" s="20" t="str"/>
      <x:c r="H505" s="20" t="str"/>
      <x:c r="I505" s="20" t="str"/>
      <x:c r="J505" s="20" t="str"/>
      <x:c r="K505" s="20" t="str"/>
      <x:c r="L505" s="20" t="str"/>
      <x:c r="M505" s="20" t="str"/>
      <x:c r="N505" s="20" t="str">
        <x:v>No code-point data extracted — manual review</x:v>
      </x:c>
      <x:c r="O505" s="20" t="str">
        <x:v>Medium</x:v>
      </x:c>
      <x:c r="P505" s="20" t="str">
        <x:v>Reference found in PDF text; table row not parsed</x:v>
      </x:c>
      <x:c r="Q505" s="20" t="str"/>
      <x:c r="R505" s="20" t="str">
        <x:v>Uploaded: n2924-SecondStageSimplificationStatusv3.pdf</x:v>
      </x:c>
    </x:row>
    <x:row r="506">
      <x:c r="A506" s="20" t="str">
        <x:v>2.8.004</x:v>
      </x:c>
      <x:c r="B506" s="20" t="n">
        <x:v>61</x:v>
      </x:c>
      <x:c r="C506" s="20" t="str">
        <x:v>Part Two</x:v>
      </x:c>
      <x:c r="D506" s="20" t="str">
        <x:v>2.8</x:v>
      </x:c>
      <x:c r="E506" s="20" t="str">
        <x:v>Part Two — Generic Simplifications of Independent Characters</x:v>
      </x:c>
      <x:c r="F506" s="20" t="str">
        <x:v>3751
[UNUSED]</x:v>
      </x:c>
      <x:c r="G506" s="20" t="str">
        <x:v>㝑</x:v>
      </x:c>
      <x:c r="H506" s="20" t="str"/>
      <x:c r="I506" s="20" t="str"/>
      <x:c r="J506" s="20" t="str"/>
      <x:c r="K506" s="20" t="str">
        <x:v>旁</x:v>
      </x:c>
      <x:c r="L506" s="20" t="str">
        <x:v>U+3751</x:v>
      </x:c>
      <x:c r="M506" s="20" t="str">
        <x:v>CJK Unified Ideographs Extension A</x:v>
      </x:c>
      <x:c r="N506" s="20" t="str">
        <x:v>Unicode code point recorded</x:v>
      </x:c>
      <x:c r="O506" s="20" t="str">
        <x:v>Low</x:v>
      </x:c>
      <x:c r="P506" s="20" t="str">
        <x:v>Structured</x:v>
      </x:c>
      <x:c r="Q506" s="20" t="str">
        <x:v>2.8.004 | 3751 / [UNUSED] | 㝑 |  |  | 旁 |  |  | 65C1 / [TGH 1] |  |  | Outl㏌e 2.4.009</x:v>
      </x:c>
      <x:c r="R506" s="20" t="str">
        <x:v>Uploaded: n2924-SecondStageSimplificationStatusv3.pdf</x:v>
      </x:c>
    </x:row>
    <x:row r="507">
      <x:c r="A507" s="20" t="str">
        <x:v>2.8.005</x:v>
      </x:c>
      <x:c r="B507" s="20" t="n">
        <x:v>62</x:v>
      </x:c>
      <x:c r="C507" s="20" t="str">
        <x:v>Part Two</x:v>
      </x:c>
      <x:c r="D507" s="20" t="str">
        <x:v>2.8</x:v>
      </x:c>
      <x:c r="E507" s="20" t="str">
        <x:v>Part Two — Generic Simplifications of Independent Characters</x:v>
      </x:c>
      <x:c r="F507" s="20" t="str"/>
      <x:c r="G507" s="20" t="str">
        <x:v>喜</x:v>
      </x:c>
      <x:c r="H507" s="20" t="str"/>
      <x:c r="I507" s="20" t="str"/>
      <x:c r="J507" s="20" t="str"/>
      <x:c r="K507" s="20" t="str">
        <x:v>喜</x:v>
      </x:c>
      <x:c r="L507" s="20" t="str"/>
      <x:c r="M507" s="20" t="str"/>
      <x:c r="N507" s="20" t="str">
        <x:v>No code-point data extracted — manual review</x:v>
      </x:c>
      <x:c r="O507" s="20" t="str">
        <x:v>Medium</x:v>
      </x:c>
      <x:c r="P507" s="20" t="str">
        <x:v>Structured</x:v>
      </x:c>
      <x:c r="Q507" s="20" t="str">
        <x:v>2.8.005 |  | 喜 |  |  | 喜 |  |  |  | 559C / [TGH 1] |  |  | Outl㏌e 2.4.016</x:v>
      </x:c>
      <x:c r="R507" s="20" t="str">
        <x:v>Uploaded: n2924-SecondStageSimplificationStatusv3.pdf</x:v>
      </x:c>
    </x:row>
    <x:row r="508">
      <x:c r="A508" s="20" t="str">
        <x:v>2.8.006</x:v>
      </x:c>
      <x:c r="B508" s="20" t="str"/>
      <x:c r="C508" s="20" t="str">
        <x:v>Part Two</x:v>
      </x:c>
      <x:c r="D508" s="20" t="str">
        <x:v>2.8</x:v>
      </x:c>
      <x:c r="E508" s="20" t="str">
        <x:v>Part Two — Generic Simplifications of Independent Characters</x:v>
      </x:c>
      <x:c r="F508" s="20" t="str"/>
      <x:c r="G508" s="20" t="str"/>
      <x:c r="H508" s="20" t="str"/>
      <x:c r="I508" s="20" t="str"/>
      <x:c r="J508" s="20" t="str"/>
      <x:c r="K508" s="20" t="str"/>
      <x:c r="L508" s="20" t="str"/>
      <x:c r="M508" s="20" t="str"/>
      <x:c r="N508" s="20" t="str">
        <x:v>No code-point data extracted — manual review</x:v>
      </x:c>
      <x:c r="O508" s="20" t="str">
        <x:v>Medium</x:v>
      </x:c>
      <x:c r="P508" s="20" t="str">
        <x:v>Reference found in PDF text; table row not parsed</x:v>
      </x:c>
      <x:c r="Q508" s="20" t="str"/>
      <x:c r="R508" s="20" t="str">
        <x:v>Uploaded: n2924-SecondStageSimplificationStatusv3.pdf</x:v>
      </x:c>
    </x:row>
    <x:row r="509">
      <x:c r="A509" s="20" t="str">
        <x:v>2.8.007</x:v>
      </x:c>
      <x:c r="B509" s="20" t="str"/>
      <x:c r="C509" s="20" t="str">
        <x:v>Part Two</x:v>
      </x:c>
      <x:c r="D509" s="20" t="str">
        <x:v>2.8</x:v>
      </x:c>
      <x:c r="E509" s="20" t="str">
        <x:v>Part Two — Generic Simplifications of Independent Characters</x:v>
      </x:c>
      <x:c r="F509" s="20" t="str"/>
      <x:c r="G509" s="20" t="str"/>
      <x:c r="H509" s="20" t="str"/>
      <x:c r="I509" s="20" t="str"/>
      <x:c r="J509" s="20" t="str"/>
      <x:c r="K509" s="20" t="str"/>
      <x:c r="L509" s="20" t="str"/>
      <x:c r="M509" s="20" t="str"/>
      <x:c r="N509" s="20" t="str">
        <x:v>No code-point data extracted — manual review</x:v>
      </x:c>
      <x:c r="O509" s="20" t="str">
        <x:v>Medium</x:v>
      </x:c>
      <x:c r="P509" s="20" t="str">
        <x:v>Reference found in PDF text; table row not parsed</x:v>
      </x:c>
      <x:c r="Q509" s="20" t="str"/>
      <x:c r="R509" s="20" t="str">
        <x:v>Uploaded: n2924-SecondStageSimplificationStatusv3.pdf</x:v>
      </x:c>
    </x:row>
    <x:row r="510">
      <x:c r="A510" s="20" t="str">
        <x:v>2.8.008</x:v>
      </x:c>
      <x:c r="B510" s="20" t="str"/>
      <x:c r="C510" s="20" t="str">
        <x:v>Part Two</x:v>
      </x:c>
      <x:c r="D510" s="20" t="str">
        <x:v>2.8</x:v>
      </x:c>
      <x:c r="E510" s="20" t="str">
        <x:v>Part Two — Generic Simplifications of Independent Characters</x:v>
      </x:c>
      <x:c r="F510" s="20" t="str"/>
      <x:c r="G510" s="20" t="str"/>
      <x:c r="H510" s="20" t="str"/>
      <x:c r="I510" s="20" t="str"/>
      <x:c r="J510" s="20" t="str"/>
      <x:c r="K510" s="20" t="str"/>
      <x:c r="L510" s="20" t="str"/>
      <x:c r="M510" s="20" t="str"/>
      <x:c r="N510" s="20" t="str">
        <x:v>No code-point data extracted — manual review</x:v>
      </x:c>
      <x:c r="O510" s="20" t="str">
        <x:v>Medium</x:v>
      </x:c>
      <x:c r="P510" s="20" t="str">
        <x:v>Reference found in PDF text; table row not parsed</x:v>
      </x:c>
      <x:c r="Q510" s="20" t="str"/>
      <x:c r="R510" s="20" t="str">
        <x:v>Uploaded: n2924-SecondStageSimplificationStatusv3.pdf</x:v>
      </x:c>
    </x:row>
    <x:row r="511">
      <x:c r="A511" s="20" t="str">
        <x:v>2.8.009</x:v>
      </x:c>
      <x:c r="B511" s="20" t="n">
        <x:v>66</x:v>
      </x:c>
      <x:c r="C511" s="20" t="str">
        <x:v>Part Two</x:v>
      </x:c>
      <x:c r="D511" s="20" t="str">
        <x:v>2.8</x:v>
      </x:c>
      <x:c r="E511" s="20" t="str">
        <x:v>Part Two — Generic Simplifications of Independent Characters</x:v>
      </x:c>
      <x:c r="F511" s="20" t="str"/>
      <x:c r="G511" s="20" t="str">
        <x:v>血</x:v>
      </x:c>
      <x:c r="H511" s="20" t="str">
        <x:v>血</x:v>
      </x:c>
      <x:c r="I511" s="20" t="str"/>
      <x:c r="J511" s="20" t="str">
        <x:v>8840
[TGH 1]</x:v>
      </x:c>
      <x:c r="K511" s="20" t="str">
        <x:v>Outl㏌e 2.4.024</x:v>
      </x:c>
      <x:c r="L511" s="20" t="str"/>
      <x:c r="M511" s="20" t="str"/>
      <x:c r="N511" s="20" t="str">
        <x:v>No code-point data extracted — manual review</x:v>
      </x:c>
      <x:c r="O511" s="20" t="str">
        <x:v>Medium</x:v>
      </x:c>
      <x:c r="P511" s="20" t="str">
        <x:v>Structured</x:v>
      </x:c>
      <x:c r="Q511" s="20" t="str">
        <x:v>2.8.009 |  | 血 | 血 | 8840 / [TGH 1] | Outl㏌e 2.4.024</x:v>
      </x:c>
      <x:c r="R511" s="20" t="str">
        <x:v>Uploaded: n2924-SecondStageSimplificationStatusv3.pdf</x:v>
      </x:c>
    </x:row>
    <x:row r="512">
      <x:c r="A512" s="20" t="str">
        <x:v>2.8.010</x:v>
      </x:c>
      <x:c r="B512" s="20" t="str"/>
      <x:c r="C512" s="20" t="str">
        <x:v>Part Two</x:v>
      </x:c>
      <x:c r="D512" s="20" t="str">
        <x:v>2.8</x:v>
      </x:c>
      <x:c r="E512" s="20" t="str">
        <x:v>Part Two — Generic Simplifications of Independent Characters</x:v>
      </x:c>
      <x:c r="F512" s="20" t="str"/>
      <x:c r="G512" s="20" t="str"/>
      <x:c r="H512" s="20" t="str"/>
      <x:c r="I512" s="20" t="str"/>
      <x:c r="J512" s="20" t="str"/>
      <x:c r="K512" s="20" t="str"/>
      <x:c r="L512" s="20" t="str"/>
      <x:c r="M512" s="20" t="str"/>
      <x:c r="N512" s="20" t="str">
        <x:v>No code-point data extracted — manual review</x:v>
      </x:c>
      <x:c r="O512" s="20" t="str">
        <x:v>Medium</x:v>
      </x:c>
      <x:c r="P512" s="20" t="str">
        <x:v>Reference found in PDF text; table row not parsed</x:v>
      </x:c>
      <x:c r="Q512" s="20" t="str"/>
      <x:c r="R512" s="20" t="str">
        <x:v>Uploaded: n2924-SecondStageSimplificationStatusv3.pdf</x:v>
      </x:c>
    </x:row>
    <x:row r="513">
      <x:c r="A513" s="20" t="str">
        <x:v>2.8.011</x:v>
      </x:c>
      <x:c r="B513" s="20" t="n">
        <x:v>67</x:v>
      </x:c>
      <x:c r="C513" s="20" t="str">
        <x:v>Part Two</x:v>
      </x:c>
      <x:c r="D513" s="20" t="str">
        <x:v>2.8</x:v>
      </x:c>
      <x:c r="E513" s="20" t="str">
        <x:v>Part Two — Generic Simplifications of Independent Characters</x:v>
      </x:c>
      <x:c r="F513" s="20" t="str"/>
      <x:c r="G513" s="20" t="str">
        <x:v>南</x:v>
      </x:c>
      <x:c r="H513" s="20" t="str">
        <x:v>南</x:v>
      </x:c>
      <x:c r="I513" s="20" t="str"/>
      <x:c r="J513" s="20" t="str"/>
      <x:c r="K513" s="20" t="str"/>
      <x:c r="L513" s="20" t="str"/>
      <x:c r="M513" s="20" t="str"/>
      <x:c r="N513" s="20" t="str">
        <x:v>No code-point data extracted — manual review</x:v>
      </x:c>
      <x:c r="O513" s="20" t="str">
        <x:v>Medium</x:v>
      </x:c>
      <x:c r="P513" s="20" t="str">
        <x:v>Structured</x:v>
      </x:c>
      <x:c r="Q513" s="20" t="str">
        <x:v>2.8.011 |  | 南 | 南 |  |  | 5357 / [TGH 1] | Outl㏌e 2.4.021</x:v>
      </x:c>
      <x:c r="R513" s="20" t="str">
        <x:v>Uploaded: n2924-SecondStageSimplificationStatusv3.pdf</x:v>
      </x:c>
    </x:row>
    <x:row r="514">
      <x:c r="A514" s="20" t="str">
        <x:v>2.8.012</x:v>
      </x:c>
      <x:c r="B514" s="20" t="str"/>
      <x:c r="C514" s="20" t="str">
        <x:v>Part Two</x:v>
      </x:c>
      <x:c r="D514" s="20" t="str">
        <x:v>2.8</x:v>
      </x:c>
      <x:c r="E514" s="20" t="str">
        <x:v>Part Two — Generic Simplifications of Independent Characters</x:v>
      </x:c>
      <x:c r="F514" s="20" t="str"/>
      <x:c r="G514" s="20" t="str"/>
      <x:c r="H514" s="20" t="str"/>
      <x:c r="I514" s="20" t="str"/>
      <x:c r="J514" s="20" t="str"/>
      <x:c r="K514" s="20" t="str"/>
      <x:c r="L514" s="20" t="str"/>
      <x:c r="M514" s="20" t="str"/>
      <x:c r="N514" s="20" t="str">
        <x:v>No code-point data extracted — manual review</x:v>
      </x:c>
      <x:c r="O514" s="20" t="str">
        <x:v>Medium</x:v>
      </x:c>
      <x:c r="P514" s="20" t="str">
        <x:v>Reference found in PDF text; table row not parsed</x:v>
      </x:c>
      <x:c r="Q514" s="20" t="str"/>
      <x:c r="R514" s="20" t="str">
        <x:v>Uploaded: n2924-SecondStageSimplificationStatusv3.pdf</x:v>
      </x:c>
    </x:row>
    <x:row r="515">
      <x:c r="A515" s="20" t="str">
        <x:v>2.8.013</x:v>
      </x:c>
      <x:c r="B515" s="20" t="str"/>
      <x:c r="C515" s="20" t="str">
        <x:v>Part Two</x:v>
      </x:c>
      <x:c r="D515" s="20" t="str">
        <x:v>2.8</x:v>
      </x:c>
      <x:c r="E515" s="20" t="str">
        <x:v>Part Two — Generic Simplifications of Independent Characters</x:v>
      </x:c>
      <x:c r="F515" s="20" t="str"/>
      <x:c r="G515" s="20" t="str"/>
      <x:c r="H515" s="20" t="str"/>
      <x:c r="I515" s="20" t="str"/>
      <x:c r="J515" s="20" t="str"/>
      <x:c r="K515" s="20" t="str"/>
      <x:c r="L515" s="20" t="str"/>
      <x:c r="M515" s="20" t="str"/>
      <x:c r="N515" s="20" t="str">
        <x:v>No code-point data extracted — manual review</x:v>
      </x:c>
      <x:c r="O515" s="20" t="str">
        <x:v>Medium</x:v>
      </x:c>
      <x:c r="P515" s="20" t="str">
        <x:v>Reference found in PDF text; table row not parsed</x:v>
      </x:c>
      <x:c r="Q515" s="20" t="str"/>
      <x:c r="R515" s="20" t="str">
        <x:v>Uploaded: n2924-SecondStageSimplificationStatusv3.pdf</x:v>
      </x:c>
    </x:row>
    <x:row r="516">
      <x:c r="A516" s="20" t="str">
        <x:v>2.8.014</x:v>
      </x:c>
      <x:c r="B516" s="20" t="str"/>
      <x:c r="C516" s="20" t="str">
        <x:v>Part Two</x:v>
      </x:c>
      <x:c r="D516" s="20" t="str">
        <x:v>2.8</x:v>
      </x:c>
      <x:c r="E516" s="20" t="str">
        <x:v>Part Two — Generic Simplifications of Independent Characters</x:v>
      </x:c>
      <x:c r="F516" s="20" t="str"/>
      <x:c r="G516" s="20" t="str"/>
      <x:c r="H516" s="20" t="str"/>
      <x:c r="I516" s="20" t="str"/>
      <x:c r="J516" s="20" t="str"/>
      <x:c r="K516" s="20" t="str"/>
      <x:c r="L516" s="20" t="str"/>
      <x:c r="M516" s="20" t="str"/>
      <x:c r="N516" s="20" t="str">
        <x:v>No code-point data extracted — manual review</x:v>
      </x:c>
      <x:c r="O516" s="20" t="str">
        <x:v>Medium</x:v>
      </x:c>
      <x:c r="P516" s="20" t="str">
        <x:v>Reference found in PDF text; table row not parsed</x:v>
      </x:c>
      <x:c r="Q516" s="20" t="str"/>
      <x:c r="R516" s="20" t="str">
        <x:v>Uploaded: n2924-SecondStageSimplificationStatusv3.pdf</x:v>
      </x:c>
    </x:row>
    <x:row r="517">
      <x:c r="A517" s="20" t="str">
        <x:v>2.8.015</x:v>
      </x:c>
      <x:c r="B517" s="20" t="str"/>
      <x:c r="C517" s="20" t="str">
        <x:v>Part Two</x:v>
      </x:c>
      <x:c r="D517" s="20" t="str">
        <x:v>2.8</x:v>
      </x:c>
      <x:c r="E517" s="20" t="str">
        <x:v>Part Two — Generic Simplifications of Independent Characters</x:v>
      </x:c>
      <x:c r="F517" s="20" t="str"/>
      <x:c r="G517" s="20" t="str"/>
      <x:c r="H517" s="20" t="str"/>
      <x:c r="I517" s="20" t="str"/>
      <x:c r="J517" s="20" t="str"/>
      <x:c r="K517" s="20" t="str"/>
      <x:c r="L517" s="20" t="str"/>
      <x:c r="M517" s="20" t="str"/>
      <x:c r="N517" s="20" t="str">
        <x:v>No code-point data extracted — manual review</x:v>
      </x:c>
      <x:c r="O517" s="20" t="str">
        <x:v>Medium</x:v>
      </x:c>
      <x:c r="P517" s="20" t="str">
        <x:v>Reference found in PDF text; table row not parsed</x:v>
      </x:c>
      <x:c r="Q517" s="20" t="str"/>
      <x:c r="R517" s="20" t="str">
        <x:v>Uploaded: n2924-SecondStageSimplificationStatusv3.pdf</x:v>
      </x:c>
    </x:row>
    <x:row r="518">
      <x:c r="A518" s="20" t="str">
        <x:v>2.8.016</x:v>
      </x:c>
      <x:c r="B518" s="20" t="str"/>
      <x:c r="C518" s="20" t="str">
        <x:v>Part Two</x:v>
      </x:c>
      <x:c r="D518" s="20" t="str">
        <x:v>2.8</x:v>
      </x:c>
      <x:c r="E518" s="20" t="str">
        <x:v>Part Two — Generic Simplifications of Independent Characters</x:v>
      </x:c>
      <x:c r="F518" s="20" t="str"/>
      <x:c r="G518" s="20" t="str"/>
      <x:c r="H518" s="20" t="str"/>
      <x:c r="I518" s="20" t="str"/>
      <x:c r="J518" s="20" t="str"/>
      <x:c r="K518" s="20" t="str"/>
      <x:c r="L518" s="20" t="str"/>
      <x:c r="M518" s="20" t="str"/>
      <x:c r="N518" s="20" t="str">
        <x:v>No code-point data extracted — manual review</x:v>
      </x:c>
      <x:c r="O518" s="20" t="str">
        <x:v>Medium</x:v>
      </x:c>
      <x:c r="P518" s="20" t="str">
        <x:v>Reference found in PDF text; table row not parsed</x:v>
      </x:c>
      <x:c r="Q518" s="20" t="str"/>
      <x:c r="R518" s="20" t="str">
        <x:v>Uploaded: n2924-SecondStageSimplificationStatusv3.pdf</x:v>
      </x:c>
    </x:row>
    <x:row r="519">
      <x:c r="A519" s="20" t="str">
        <x:v>2.8.017</x:v>
      </x:c>
      <x:c r="B519" s="20" t="n">
        <x:v>78</x:v>
      </x:c>
      <x:c r="C519" s="20" t="str">
        <x:v>Part Two</x:v>
      </x:c>
      <x:c r="D519" s="20" t="str">
        <x:v>2.8</x:v>
      </x:c>
      <x:c r="E519" s="20" t="str">
        <x:v>Part Two — Generic Simplifications of Independent Characters</x:v>
      </x:c>
      <x:c r="F519" s="20" t="str"/>
      <x:c r="G519" s="20" t="str">
        <x:v>高</x:v>
      </x:c>
      <x:c r="H519" s="20" t="str">
        <x:v>高</x:v>
      </x:c>
      <x:c r="I519" s="20" t="str"/>
      <x:c r="J519" s="20" t="str">
        <x:v>9AD8
[TGH 1]</x:v>
      </x:c>
      <x:c r="K519" s="20" t="str">
        <x:v>Cursive 2.5.014</x:v>
      </x:c>
      <x:c r="L519" s="20" t="str"/>
      <x:c r="M519" s="20" t="str"/>
      <x:c r="N519" s="20" t="str">
        <x:v>No code-point data extracted — manual review</x:v>
      </x:c>
      <x:c r="O519" s="20" t="str">
        <x:v>Medium</x:v>
      </x:c>
      <x:c r="P519" s="20" t="str">
        <x:v>Structured</x:v>
      </x:c>
      <x:c r="Q519" s="20" t="str">
        <x:v>2.8.017 |  | 高 | 高 | 9AD8 / [TGH 1] | Cursive 2.5.014</x:v>
      </x:c>
      <x:c r="R519" s="20" t="str">
        <x:v>Uploaded: n2924-SecondStageSimplificationStatusv3.pdf</x:v>
      </x:c>
    </x:row>
    <x:row r="520">
      <x:c r="A520" s="20" t="str">
        <x:v>2.8.018</x:v>
      </x:c>
      <x:c r="B520" s="20" t="n">
        <x:v>79</x:v>
      </x:c>
      <x:c r="C520" s="20" t="str">
        <x:v>Part Two</x:v>
      </x:c>
      <x:c r="D520" s="20" t="str">
        <x:v>2.8</x:v>
      </x:c>
      <x:c r="E520" s="20" t="str">
        <x:v>Part Two — Generic Simplifications of Independent Characters</x:v>
      </x:c>
      <x:c r="F520" s="20" t="str"/>
      <x:c r="G520" s="20" t="str">
        <x:v>亥</x:v>
      </x:c>
      <x:c r="H520" s="20" t="str">
        <x:v>亥</x:v>
      </x:c>
      <x:c r="I520" s="20" t="str"/>
      <x:c r="J520" s="20" t="str">
        <x:v>4EA5
[TGH 1]</x:v>
      </x:c>
      <x:c r="K520" s="20" t="str">
        <x:v>Cursive 2.5.003</x:v>
      </x:c>
      <x:c r="L520" s="20" t="str"/>
      <x:c r="M520" s="20" t="str"/>
      <x:c r="N520" s="20" t="str">
        <x:v>No code-point data extracted — manual review</x:v>
      </x:c>
      <x:c r="O520" s="20" t="str">
        <x:v>Medium</x:v>
      </x:c>
      <x:c r="P520" s="20" t="str">
        <x:v>Structured</x:v>
      </x:c>
      <x:c r="Q520" s="20" t="str">
        <x:v>2.8.018 |  | 亥 | 亥 | 4EA5 / [TGH 1] | Cursive 2.5.003</x:v>
      </x:c>
      <x:c r="R520" s="20" t="str">
        <x:v>Uploaded: n2924-SecondStageSimplificationStatusv3.pdf</x:v>
      </x:c>
    </x:row>
    <x:row r="521">
      <x:c r="A521" s="20" t="str">
        <x:v>2.8.019</x:v>
      </x:c>
      <x:c r="B521" s="20" t="str"/>
      <x:c r="C521" s="20" t="str">
        <x:v>Part Two</x:v>
      </x:c>
      <x:c r="D521" s="20" t="str">
        <x:v>2.8</x:v>
      </x:c>
      <x:c r="E521" s="20" t="str">
        <x:v>Part Two — Generic Simplifications of Independent Characters</x:v>
      </x:c>
      <x:c r="F521" s="20" t="str"/>
      <x:c r="G521" s="20" t="str"/>
      <x:c r="H521" s="20" t="str"/>
      <x:c r="I521" s="20" t="str"/>
      <x:c r="J521" s="20" t="str"/>
      <x:c r="K521" s="20" t="str"/>
      <x:c r="L521" s="20" t="str"/>
      <x:c r="M521" s="20" t="str"/>
      <x:c r="N521" s="20" t="str">
        <x:v>No code-point data extracted — manual review</x:v>
      </x:c>
      <x:c r="O521" s="20" t="str">
        <x:v>Medium</x:v>
      </x:c>
      <x:c r="P521" s="20" t="str">
        <x:v>Reference found in PDF text; table row not parsed</x:v>
      </x:c>
      <x:c r="Q521" s="20" t="str"/>
      <x:c r="R521" s="20" t="str">
        <x:v>Uploaded: n2924-SecondStageSimplificationStatusv3.pdf</x:v>
      </x:c>
    </x:row>
    <x:row r="522">
      <x:c r="A522" s="20" t="str">
        <x:v>2.8.020</x:v>
      </x:c>
      <x:c r="B522" s="20" t="n">
        <x:v>80</x:v>
      </x:c>
      <x:c r="C522" s="20" t="str">
        <x:v>Part Two</x:v>
      </x:c>
      <x:c r="D522" s="20" t="str">
        <x:v>2.8</x:v>
      </x:c>
      <x:c r="E522" s="20" t="str">
        <x:v>Part Two — Generic Simplifications of Independent Characters</x:v>
      </x:c>
      <x:c r="F522" s="20" t="str"/>
      <x:c r="G522" s="20" t="str">
        <x:v>票</x:v>
      </x:c>
      <x:c r="H522" s="20" t="str">
        <x:v>票</x:v>
      </x:c>
      <x:c r="I522" s="20" t="str"/>
      <x:c r="J522" s="20" t="str">
        <x:v>7968
[TGH 1]</x:v>
      </x:c>
      <x:c r="K522" s="20" t="str">
        <x:v>Cursive 2.5.008</x:v>
      </x:c>
      <x:c r="L522" s="20" t="str"/>
      <x:c r="M522" s="20" t="str"/>
      <x:c r="N522" s="20" t="str">
        <x:v>No code-point data extracted — manual review</x:v>
      </x:c>
      <x:c r="O522" s="20" t="str">
        <x:v>Medium</x:v>
      </x:c>
      <x:c r="P522" s="20" t="str">
        <x:v>Structured</x:v>
      </x:c>
      <x:c r="Q522" s="20" t="str">
        <x:v>2.8.020 |  | 票 | 票 | 7968 / [TGH 1] | Cursive 2.5.008</x:v>
      </x:c>
      <x:c r="R522" s="20" t="str">
        <x:v>Uploaded: n2924-SecondStageSimplificationStatusv3.pdf</x:v>
      </x:c>
    </x:row>
    <x:row r="523">
      <x:c r="A523" s="20" t="str">
        <x:v>2.8.021</x:v>
      </x:c>
      <x:c r="B523" s="20" t="n">
        <x:v>81</x:v>
      </x:c>
      <x:c r="C523" s="20" t="str">
        <x:v>Part Two</x:v>
      </x:c>
      <x:c r="D523" s="20" t="str">
        <x:v>2.8</x:v>
      </x:c>
      <x:c r="E523" s="20" t="str">
        <x:v>Part Two — Generic Simplifications of Independent Characters</x:v>
      </x:c>
      <x:c r="F523" s="20" t="str"/>
      <x:c r="G523" s="20" t="str">
        <x:v>要</x:v>
      </x:c>
      <x:c r="H523" s="20" t="str">
        <x:v>要</x:v>
      </x:c>
      <x:c r="I523" s="20" t="str"/>
      <x:c r="J523" s="20" t="str">
        <x:v>8981
[TGH 1]</x:v>
      </x:c>
      <x:c r="K523" s="20" t="str">
        <x:v>Cursive 2.5.009</x:v>
      </x:c>
      <x:c r="L523" s="20" t="str"/>
      <x:c r="M523" s="20" t="str"/>
      <x:c r="N523" s="20" t="str">
        <x:v>No code-point data extracted — manual review</x:v>
      </x:c>
      <x:c r="O523" s="20" t="str">
        <x:v>Medium</x:v>
      </x:c>
      <x:c r="P523" s="20" t="str">
        <x:v>Structured</x:v>
      </x:c>
      <x:c r="Q523" s="20" t="str">
        <x:v>2.8.021 |  | 要 | 要 | 8981 / [TGH 1] | Cursive 2.5.009</x:v>
      </x:c>
      <x:c r="R523" s="20" t="str">
        <x:v>Uploaded: n2924-SecondStageSimplificationStatusv3.pdf</x:v>
      </x:c>
    </x:row>
    <x:row r="524">
      <x:c r="A524" s="20" t="str">
        <x:v>2.8.022</x:v>
      </x:c>
      <x:c r="B524" s="20" t="str"/>
      <x:c r="C524" s="20" t="str">
        <x:v>Part Two</x:v>
      </x:c>
      <x:c r="D524" s="20" t="str">
        <x:v>2.8</x:v>
      </x:c>
      <x:c r="E524" s="20" t="str">
        <x:v>Part Two — Generic Simplifications of Independent Characters</x:v>
      </x:c>
      <x:c r="F524" s="20" t="str"/>
      <x:c r="G524" s="20" t="str"/>
      <x:c r="H524" s="20" t="str"/>
      <x:c r="I524" s="20" t="str"/>
      <x:c r="J524" s="20" t="str"/>
      <x:c r="K524" s="20" t="str"/>
      <x:c r="L524" s="20" t="str"/>
      <x:c r="M524" s="20" t="str"/>
      <x:c r="N524" s="20" t="str">
        <x:v>No code-point data extracted — manual review</x:v>
      </x:c>
      <x:c r="O524" s="20" t="str">
        <x:v>Medium</x:v>
      </x:c>
      <x:c r="P524" s="20" t="str">
        <x:v>Reference found in PDF text; table row not parsed</x:v>
      </x:c>
      <x:c r="Q524" s="20" t="str"/>
      <x:c r="R524" s="20" t="str">
        <x:v>Uploaded: n2924-SecondStageSimplificationStatusv3.pdf</x:v>
      </x:c>
    </x:row>
    <x:row r="525">
      <x:c r="A525" s="20" t="str">
        <x:v>2.8.023</x:v>
      </x:c>
      <x:c r="B525" s="20" t="n">
        <x:v>82</x:v>
      </x:c>
      <x:c r="C525" s="20" t="str">
        <x:v>Part Two</x:v>
      </x:c>
      <x:c r="D525" s="20" t="str">
        <x:v>2.8</x:v>
      </x:c>
      <x:c r="E525" s="20" t="str">
        <x:v>Part Two — Generic Simplifications of Independent Characters</x:v>
      </x:c>
      <x:c r="F525" s="20" t="str"/>
      <x:c r="G525" s="20" t="str">
        <x:v>身</x:v>
      </x:c>
      <x:c r="H525" s="20" t="str">
        <x:v>身</x:v>
      </x:c>
      <x:c r="I525" s="20" t="str"/>
      <x:c r="J525" s="20" t="str">
        <x:v>8EAB
[TGH 1]</x:v>
      </x:c>
      <x:c r="K525" s="20" t="str">
        <x:v>Cursive 2.5.012</x:v>
      </x:c>
      <x:c r="L525" s="20" t="str"/>
      <x:c r="M525" s="20" t="str"/>
      <x:c r="N525" s="20" t="str">
        <x:v>No code-point data extracted — manual review</x:v>
      </x:c>
      <x:c r="O525" s="20" t="str">
        <x:v>Medium</x:v>
      </x:c>
      <x:c r="P525" s="20" t="str">
        <x:v>Structured</x:v>
      </x:c>
      <x:c r="Q525" s="20" t="str">
        <x:v>2.8.023 |  | 身 | 身 | 8EAB / [TGH 1] | Cursive 2.5.012</x:v>
      </x:c>
      <x:c r="R525" s="20" t="str">
        <x:v>Uploaded: n2924-SecondStageSimplificationStatusv3.pdf</x:v>
      </x:c>
    </x:row>
    <x:row r="526">
      <x:c r="A526" s="20" t="str">
        <x:v>2.8.024</x:v>
      </x:c>
      <x:c r="B526" s="20" t="n">
        <x:v>83</x:v>
      </x:c>
      <x:c r="C526" s="20" t="str">
        <x:v>Part Two</x:v>
      </x:c>
      <x:c r="D526" s="20" t="str">
        <x:v>2.8</x:v>
      </x:c>
      <x:c r="E526" s="20" t="str">
        <x:v>Part Two — Generic Simplifications of Independent Characters</x:v>
      </x:c>
      <x:c r="F526" s="20" t="str">
        <x:v>219BC</x:v>
      </x:c>
      <x:c r="G526" s="20" t="str">
        <x:v>𡦼𡦼</x:v>
      </x:c>
      <x:c r="H526" s="20" t="str">
        <x:v>家</x:v>
      </x:c>
      <x:c r="I526" s="20" t="str"/>
      <x:c r="J526" s="20" t="str">
        <x:v>5BB6
[TGH 1]</x:v>
      </x:c>
      <x:c r="K526" s="20" t="str">
        <x:v>Semantic 2.6.004</x:v>
      </x:c>
      <x:c r="L526" s="20" t="str">
        <x:v>U+219BC</x:v>
      </x:c>
      <x:c r="M526" s="20" t="str">
        <x:v>CJK Unified Ideographs Extension B</x:v>
      </x:c>
      <x:c r="N526" s="20" t="str">
        <x:v>Unicode code point recorded</x:v>
      </x:c>
      <x:c r="O526" s="20" t="str">
        <x:v>Low</x:v>
      </x:c>
      <x:c r="P526" s="20" t="str">
        <x:v>Structured</x:v>
      </x:c>
      <x:c r="Q526" s="20" t="str">
        <x:v>2.8.024 | 219BC | 𡦼𡦼 | 家 | 5BB6 / [TGH 1] | Semantic 2.6.004</x:v>
      </x:c>
      <x:c r="R526" s="20" t="str">
        <x:v>Uploaded: n2924-SecondStageSimplificationStatusv3.pdf</x:v>
      </x:c>
    </x:row>
    <x:row r="527">
      <x:c r="A527" s="20" t="str">
        <x:v>2.9.001</x:v>
      </x:c>
      <x:c r="B527" s="20" t="n">
        <x:v>83</x:v>
      </x:c>
      <x:c r="C527" s="20" t="str">
        <x:v>Part Two</x:v>
      </x:c>
      <x:c r="D527" s="20" t="str">
        <x:v>2.9</x:v>
      </x:c>
      <x:c r="E527" s="20" t="str">
        <x:v>Part Two — Generic Simplifications of Component Elements</x:v>
      </x:c>
      <x:c r="F527" s="20" t="str">
        <x:v>4E2C [㎇
2312]</x:v>
      </x:c>
      <x:c r="G527" s="20" t="str">
        <x:v>丬</x:v>
      </x:c>
      <x:c r="H527" s="20" t="str">
        <x:v>爿</x:v>
      </x:c>
      <x:c r="I527" s="20" t="str"/>
      <x:c r="J527" s="20" t="str">
        <x:v>723F [TGH 2]</x:v>
      </x:c>
      <x:c r="K527" s="20" t="str"/>
      <x:c r="L527" s="20" t="str">
        <x:v>U+4E2C</x:v>
      </x:c>
      <x:c r="M527" s="20" t="str">
        <x:v>CJK Unified Ideographs</x:v>
      </x:c>
      <x:c r="N527" s="20" t="str">
        <x:v>Unicode code point recorded</x:v>
      </x:c>
      <x:c r="O527" s="20" t="str">
        <x:v>Low</x:v>
      </x:c>
      <x:c r="P527" s="20" t="str">
        <x:v>Structured</x:v>
      </x:c>
      <x:c r="Q527" s="20" t="str">
        <x:v>2.9.001 | 4E2C [㎇ / 2312] | 丬 | 爿 | 723F [TGH 2] | </x:v>
      </x:c>
      <x:c r="R527" s="20" t="str">
        <x:v>Uploaded: n2924-SecondStageSimplificationStatusv3.pdf</x:v>
      </x:c>
    </x:row>
    <x:row r="528">
      <x:c r="A528" s="20" t="str">
        <x:v>2.9.002</x:v>
      </x:c>
      <x:c r="B528" s="20" t="str"/>
      <x:c r="C528" s="20" t="str">
        <x:v>Part Two</x:v>
      </x:c>
      <x:c r="D528" s="20" t="str">
        <x:v>2.9</x:v>
      </x:c>
      <x:c r="E528" s="20" t="str">
        <x:v>Part Two — Generic Simplifications of Component Elements</x:v>
      </x:c>
      <x:c r="F528" s="20" t="str"/>
      <x:c r="G528" s="20" t="str"/>
      <x:c r="H528" s="20" t="str"/>
      <x:c r="I528" s="20" t="str"/>
      <x:c r="J528" s="20" t="str"/>
      <x:c r="K528" s="20" t="str"/>
      <x:c r="L528" s="20" t="str"/>
      <x:c r="M528" s="20" t="str"/>
      <x:c r="N528" s="20" t="str">
        <x:v>No code-point data extracted — manual review</x:v>
      </x:c>
      <x:c r="O528" s="20" t="str">
        <x:v>Medium</x:v>
      </x:c>
      <x:c r="P528" s="20" t="str">
        <x:v>Reference found in PDF text; table row not parsed</x:v>
      </x:c>
      <x:c r="Q528" s="20" t="str"/>
      <x:c r="R528" s="20" t="str">
        <x:v>Uploaded: n2924-SecondStageSimplificationStatusv3.pdf</x:v>
      </x:c>
    </x:row>
    <x:row r="529">
      <x:c r="A529" s="20" t="str">
        <x:v>2.9.003</x:v>
      </x:c>
      <x:c r="B529" s="20" t="str"/>
      <x:c r="C529" s="20" t="str">
        <x:v>Part Two</x:v>
      </x:c>
      <x:c r="D529" s="20" t="str">
        <x:v>2.9</x:v>
      </x:c>
      <x:c r="E529" s="20" t="str">
        <x:v>Part Two — Generic Simplifications of Component Elements</x:v>
      </x:c>
      <x:c r="F529" s="20" t="str"/>
      <x:c r="G529" s="20" t="str"/>
      <x:c r="H529" s="20" t="str"/>
      <x:c r="I529" s="20" t="str"/>
      <x:c r="J529" s="20" t="str"/>
      <x:c r="K529" s="20" t="str"/>
      <x:c r="L529" s="20" t="str"/>
      <x:c r="M529" s="20" t="str"/>
      <x:c r="N529" s="20" t="str">
        <x:v>No code-point data extracted — manual review</x:v>
      </x:c>
      <x:c r="O529" s="20" t="str">
        <x:v>Medium</x:v>
      </x:c>
      <x:c r="P529" s="20" t="str">
        <x:v>Reference found in PDF text; table row not parsed</x:v>
      </x:c>
      <x:c r="Q529" s="20" t="str"/>
      <x:c r="R529" s="20" t="str">
        <x:v>Uploaded: n2924-SecondStageSimplificationStatusv3.pdf</x:v>
      </x:c>
    </x:row>
    <x:row r="530">
      <x:c r="A530" s="20" t="str">
        <x:v>2.9.004</x:v>
      </x:c>
      <x:c r="B530" s="20" t="str"/>
      <x:c r="C530" s="20" t="str">
        <x:v>Part Two</x:v>
      </x:c>
      <x:c r="D530" s="20" t="str">
        <x:v>2.9</x:v>
      </x:c>
      <x:c r="E530" s="20" t="str">
        <x:v>Part Two — Generic Simplifications of Component Elements</x:v>
      </x:c>
      <x:c r="F530" s="20" t="str"/>
      <x:c r="G530" s="20" t="str"/>
      <x:c r="H530" s="20" t="str"/>
      <x:c r="I530" s="20" t="str"/>
      <x:c r="J530" s="20" t="str"/>
      <x:c r="K530" s="20" t="str"/>
      <x:c r="L530" s="20" t="str"/>
      <x:c r="M530" s="20" t="str"/>
      <x:c r="N530" s="20" t="str">
        <x:v>No code-point data extracted — manual review</x:v>
      </x:c>
      <x:c r="O530" s="20" t="str">
        <x:v>Medium</x:v>
      </x:c>
      <x:c r="P530" s="20" t="str">
        <x:v>Reference found in PDF text; table row not parsed</x:v>
      </x:c>
      <x:c r="Q530" s="20" t="str"/>
      <x:c r="R530" s="20" t="str">
        <x:v>Uploaded: n2924-SecondStageSimplificationStatusv3.pdf</x:v>
      </x:c>
    </x:row>
    <x:row r="531">
      <x:c r="A531" s="20" t="str">
        <x:v>2.9.005</x:v>
      </x:c>
      <x:c r="B531" s="20" t="str"/>
      <x:c r="C531" s="20" t="str">
        <x:v>Part Two</x:v>
      </x:c>
      <x:c r="D531" s="20" t="str">
        <x:v>2.9</x:v>
      </x:c>
      <x:c r="E531" s="20" t="str">
        <x:v>Part Two — Generic Simplifications of Component Elements</x:v>
      </x:c>
      <x:c r="F531" s="20" t="str"/>
      <x:c r="G531" s="20" t="str"/>
      <x:c r="H531" s="20" t="str"/>
      <x:c r="I531" s="20" t="str"/>
      <x:c r="J531" s="20" t="str"/>
      <x:c r="K531" s="20" t="str"/>
      <x:c r="L531" s="20" t="str"/>
      <x:c r="M531" s="20" t="str"/>
      <x:c r="N531" s="20" t="str">
        <x:v>No code-point data extracted — manual review</x:v>
      </x:c>
      <x:c r="O531" s="20" t="str">
        <x:v>Medium</x:v>
      </x:c>
      <x:c r="P531" s="20" t="str">
        <x:v>Reference found in PDF text; table row not parsed</x:v>
      </x:c>
      <x:c r="Q531" s="20" t="str"/>
      <x:c r="R531" s="20" t="str">
        <x:v>Uploaded: n2924-SecondStageSimplificationStatusv3.pdf</x:v>
      </x:c>
    </x:row>
    <x:row r="532">
      <x:c r="A532" s="20" t="str">
        <x:v>2.9.006</x:v>
      </x:c>
      <x:c r="B532" s="20" t="str"/>
      <x:c r="C532" s="20" t="str">
        <x:v>Part Two</x:v>
      </x:c>
      <x:c r="D532" s="20" t="str">
        <x:v>2.9</x:v>
      </x:c>
      <x:c r="E532" s="20" t="str">
        <x:v>Part Two — Generic Simplifications of Component Elements</x:v>
      </x:c>
      <x:c r="F532" s="20" t="str"/>
      <x:c r="G532" s="20" t="str"/>
      <x:c r="H532" s="20" t="str"/>
      <x:c r="I532" s="20" t="str"/>
      <x:c r="J532" s="20" t="str"/>
      <x:c r="K532" s="20" t="str"/>
      <x:c r="L532" s="20" t="str"/>
      <x:c r="M532" s="20" t="str"/>
      <x:c r="N532" s="20" t="str">
        <x:v>No code-point data extracted — manual review</x:v>
      </x:c>
      <x:c r="O532" s="20" t="str">
        <x:v>Medium</x:v>
      </x:c>
      <x:c r="P532" s="20" t="str">
        <x:v>Reference found in PDF text; table row not parsed</x:v>
      </x:c>
      <x:c r="Q532" s="20" t="str"/>
      <x:c r="R532" s="20" t="str">
        <x:v>Uploaded: n2924-SecondStageSimplificationStatusv3.pdf</x:v>
      </x:c>
    </x:row>
    <x:row r="533">
      <x:c r="A533" s="20" t="str">
        <x:v>2.9.007</x:v>
      </x:c>
      <x:c r="B533" s="20" t="str"/>
      <x:c r="C533" s="20" t="str">
        <x:v>Part Two</x:v>
      </x:c>
      <x:c r="D533" s="20" t="str">
        <x:v>2.9</x:v>
      </x:c>
      <x:c r="E533" s="20" t="str">
        <x:v>Part Two — Generic Simplifications of Component Elements</x:v>
      </x:c>
      <x:c r="F533" s="20" t="str"/>
      <x:c r="G533" s="20" t="str"/>
      <x:c r="H533" s="20" t="str"/>
      <x:c r="I533" s="20" t="str"/>
      <x:c r="J533" s="20" t="str"/>
      <x:c r="K533" s="20" t="str"/>
      <x:c r="L533" s="20" t="str"/>
      <x:c r="M533" s="20" t="str"/>
      <x:c r="N533" s="20" t="str">
        <x:v>No code-point data extracted — manual review</x:v>
      </x:c>
      <x:c r="O533" s="20" t="str">
        <x:v>Medium</x:v>
      </x:c>
      <x:c r="P533" s="20" t="str">
        <x:v>Reference found in PDF text; table row not parsed</x:v>
      </x:c>
      <x:c r="Q533" s="20" t="str"/>
      <x:c r="R533" s="20" t="str">
        <x:v>Uploaded: n2924-SecondStageSimplificationStatusv3.pdf</x:v>
      </x:c>
    </x:row>
    <x:row r="534">
      <x:c r="A534" s="20" t="str">
        <x:v>2.9.008</x:v>
      </x:c>
      <x:c r="B534" s="20" t="str"/>
      <x:c r="C534" s="20" t="str">
        <x:v>Part Two</x:v>
      </x:c>
      <x:c r="D534" s="20" t="str">
        <x:v>2.9</x:v>
      </x:c>
      <x:c r="E534" s="20" t="str">
        <x:v>Part Two — Generic Simplifications of Component Elements</x:v>
      </x:c>
      <x:c r="F534" s="20" t="str"/>
      <x:c r="G534" s="20" t="str"/>
      <x:c r="H534" s="20" t="str"/>
      <x:c r="I534" s="20" t="str"/>
      <x:c r="J534" s="20" t="str"/>
      <x:c r="K534" s="20" t="str"/>
      <x:c r="L534" s="20" t="str"/>
      <x:c r="M534" s="20" t="str"/>
      <x:c r="N534" s="20" t="str">
        <x:v>No code-point data extracted — manual review</x:v>
      </x:c>
      <x:c r="O534" s="20" t="str">
        <x:v>Medium</x:v>
      </x:c>
      <x:c r="P534" s="20" t="str">
        <x:v>Reference found in PDF text; table row not parsed</x:v>
      </x:c>
      <x:c r="Q534" s="20" t="str"/>
      <x:c r="R534" s="20" t="str">
        <x:v>Uploaded: n2924-SecondStageSimplificationStatusv3.pdf</x:v>
      </x:c>
    </x:row>
    <x:row r="535">
      <x:c r="A535" s="20" t="str">
        <x:v>2.9.009</x:v>
      </x:c>
      <x:c r="B535" s="20" t="str"/>
      <x:c r="C535" s="20" t="str">
        <x:v>Part Two</x:v>
      </x:c>
      <x:c r="D535" s="20" t="str">
        <x:v>2.9</x:v>
      </x:c>
      <x:c r="E535" s="20" t="str">
        <x:v>Part Two — Generic Simplifications of Component Elements</x:v>
      </x:c>
      <x:c r="F535" s="20" t="str"/>
      <x:c r="G535" s="20" t="str"/>
      <x:c r="H535" s="20" t="str"/>
      <x:c r="I535" s="20" t="str"/>
      <x:c r="J535" s="20" t="str"/>
      <x:c r="K535" s="20" t="str"/>
      <x:c r="L535" s="20" t="str"/>
      <x:c r="M535" s="20" t="str"/>
      <x:c r="N535" s="20" t="str">
        <x:v>No code-point data extracted — manual review</x:v>
      </x:c>
      <x:c r="O535" s="20" t="str">
        <x:v>Medium</x:v>
      </x:c>
      <x:c r="P535" s="20" t="str">
        <x:v>Reference found in PDF text; table row not parsed</x:v>
      </x:c>
      <x:c r="Q535" s="20" t="str"/>
      <x:c r="R535" s="20" t="str">
        <x:v>Uploaded: n2924-SecondStageSimplificationStatusv3.pdf</x:v>
      </x:c>
    </x:row>
    <x:row r="536">
      <x:c r="A536" s="20" t="str">
        <x:v>2.9.010</x:v>
      </x:c>
      <x:c r="B536" s="20" t="n">
        <x:v>91</x:v>
      </x:c>
      <x:c r="C536" s="20" t="str">
        <x:v>Part Two</x:v>
      </x:c>
      <x:c r="D536" s="20" t="str">
        <x:v>2.9</x:v>
      </x:c>
      <x:c r="E536" s="20" t="str">
        <x:v>Part Two — Generic Simplifications of Component Elements</x:v>
      </x:c>
      <x:c r="F536" s="20" t="str"/>
      <x:c r="G536" s="20" t="str">
        <x:v>啇</x:v>
      </x:c>
      <x:c r="H536" s="20" t="str">
        <x:v>啇</x:v>
      </x:c>
      <x:c r="I536" s="20" t="str"/>
      <x:c r="J536" s="20" t="str">
        <x:v>5547 [UNUSED H]</x:v>
      </x:c>
      <x:c r="K536" s="20" t="str"/>
      <x:c r="L536" s="20" t="str"/>
      <x:c r="M536" s="20" t="str"/>
      <x:c r="N536" s="20" t="str">
        <x:v>No code-point data extracted — manual review</x:v>
      </x:c>
      <x:c r="O536" s="20" t="str">
        <x:v>Medium</x:v>
      </x:c>
      <x:c r="P536" s="20" t="str">
        <x:v>Structured</x:v>
      </x:c>
      <x:c r="Q536" s="20" t="str">
        <x:v>2.9.010 |  | 啇 | 啇 | 5547 [UNUSED H] | </x:v>
      </x:c>
      <x:c r="R536" s="20" t="str">
        <x:v>Uploaded: n2924-SecondStageSimplificationStatusv3.pdf</x:v>
      </x:c>
    </x:row>
    <x:row r="537">
      <x:c r="A537" s="20" t="str">
        <x:v>2.9.011</x:v>
      </x:c>
      <x:c r="B537" s="20" t="str"/>
      <x:c r="C537" s="20" t="str">
        <x:v>Part Two</x:v>
      </x:c>
      <x:c r="D537" s="20" t="str">
        <x:v>2.9</x:v>
      </x:c>
      <x:c r="E537" s="20" t="str">
        <x:v>Part Two — Generic Simplifications of Component Elements</x:v>
      </x:c>
      <x:c r="F537" s="20" t="str"/>
      <x:c r="G537" s="20" t="str"/>
      <x:c r="H537" s="20" t="str"/>
      <x:c r="I537" s="20" t="str"/>
      <x:c r="J537" s="20" t="str"/>
      <x:c r="K537" s="20" t="str"/>
      <x:c r="L537" s="20" t="str"/>
      <x:c r="M537" s="20" t="str"/>
      <x:c r="N537" s="20" t="str">
        <x:v>No code-point data extracted — manual review</x:v>
      </x:c>
      <x:c r="O537" s="20" t="str">
        <x:v>Medium</x:v>
      </x:c>
      <x:c r="P537" s="20" t="str">
        <x:v>Reference found in PDF text; table row not parsed</x:v>
      </x:c>
      <x:c r="Q537" s="20" t="str"/>
      <x:c r="R537" s="20" t="str">
        <x:v>Uploaded: n2924-SecondStageSimplificationStatusv3.pdf</x:v>
      </x:c>
    </x:row>
    <x:row r="538">
      <x:c r="A538" s="20" t="str">
        <x:v>2.9.012</x:v>
      </x:c>
      <x:c r="B538" s="20" t="str"/>
      <x:c r="C538" s="20" t="str">
        <x:v>Part Two</x:v>
      </x:c>
      <x:c r="D538" s="20" t="str">
        <x:v>2.9</x:v>
      </x:c>
      <x:c r="E538" s="20" t="str">
        <x:v>Part Two — Generic Simplifications of Component Elements</x:v>
      </x:c>
      <x:c r="F538" s="20" t="str"/>
      <x:c r="G538" s="20" t="str"/>
      <x:c r="H538" s="20" t="str"/>
      <x:c r="I538" s="20" t="str"/>
      <x:c r="J538" s="20" t="str"/>
      <x:c r="K538" s="20" t="str"/>
      <x:c r="L538" s="20" t="str"/>
      <x:c r="M538" s="20" t="str"/>
      <x:c r="N538" s="20" t="str">
        <x:v>No code-point data extracted — manual review</x:v>
      </x:c>
      <x:c r="O538" s="20" t="str">
        <x:v>Medium</x:v>
      </x:c>
      <x:c r="P538" s="20" t="str">
        <x:v>Reference found in PDF text; table row not parsed</x:v>
      </x:c>
      <x:c r="Q538" s="20" t="str"/>
      <x:c r="R538" s="20" t="str">
        <x:v>Uploaded: n2924-SecondStageSimplificationStatusv3.pdf</x:v>
      </x:c>
    </x:row>
    <x:row r="539">
      <x:c r="A539" s="20" t="str">
        <x:v>2.9.013</x:v>
      </x:c>
      <x:c r="B539" s="20" t="str"/>
      <x:c r="C539" s="20" t="str">
        <x:v>Part Two</x:v>
      </x:c>
      <x:c r="D539" s="20" t="str">
        <x:v>2.9</x:v>
      </x:c>
      <x:c r="E539" s="20" t="str">
        <x:v>Part Two — Generic Simplifications of Component Elements</x:v>
      </x:c>
      <x:c r="F539" s="20" t="str"/>
      <x:c r="G539" s="20" t="str"/>
      <x:c r="H539" s="20" t="str"/>
      <x:c r="I539" s="20" t="str"/>
      <x:c r="J539" s="20" t="str"/>
      <x:c r="K539" s="20" t="str"/>
      <x:c r="L539" s="20" t="str"/>
      <x:c r="M539" s="20" t="str"/>
      <x:c r="N539" s="20" t="str">
        <x:v>No code-point data extracted — manual review</x:v>
      </x:c>
      <x:c r="O539" s="20" t="str">
        <x:v>Medium</x:v>
      </x:c>
      <x:c r="P539" s="20" t="str">
        <x:v>Reference found in PDF text; table row not parsed</x:v>
      </x:c>
      <x:c r="Q539" s="20" t="str"/>
      <x:c r="R539" s="20" t="str">
        <x:v>Uploaded: n2924-SecondStageSimplificationStatusv3.pdf</x:v>
      </x:c>
    </x:row>
    <x:row r="540">
      <x:c r="A540" s="20" t="str">
        <x:v>2.9.014</x:v>
      </x:c>
      <x:c r="B540" s="20" t="n">
        <x:v>101</x:v>
      </x:c>
      <x:c r="C540" s="20" t="str">
        <x:v>Part Two</x:v>
      </x:c>
      <x:c r="D540" s="20" t="str">
        <x:v>2.9</x:v>
      </x:c>
      <x:c r="E540" s="20" t="str">
        <x:v>Part Two — Generic Simplifications of Component Elements</x:v>
      </x:c>
      <x:c r="F540" s="20" t="str">
        <x:v>5229
[TGH 1]</x:v>
      </x:c>
      <x:c r="G540" s="20" t="str">
        <x:v>利</x:v>
      </x:c>
      <x:c r="H540" s="20" t="str"/>
      <x:c r="I540" s="20" t="str"/>
      <x:c r="J540" s="20" t="str"/>
      <x:c r="K540" s="20" t="str">
        <x:v>𥝢𥝢</x:v>
      </x:c>
      <x:c r="L540" s="20" t="str">
        <x:v>U+5229</x:v>
      </x:c>
      <x:c r="M540" s="20" t="str">
        <x:v>CJK Unified Ideographs</x:v>
      </x:c>
      <x:c r="N540" s="20" t="str">
        <x:v>Unicode code point recorded</x:v>
      </x:c>
      <x:c r="O540" s="20" t="str">
        <x:v>Low</x:v>
      </x:c>
      <x:c r="P540" s="20" t="str">
        <x:v>Structured</x:v>
      </x:c>
      <x:c r="Q540" s="20" t="str">
        <x:v>2.9.014 | 5229 / [TGH 1] | 利 |  |  | 𥝢𥝢 |  |  |  | 25762 [UNUSED] |  |  | </x:v>
      </x:c>
      <x:c r="R540" s="20" t="str">
        <x:v>Uploaded: n2924-SecondStageSimplificationStatusv3.pdf</x:v>
      </x:c>
    </x:row>
    <x:row r="541">
      <x:c r="A541" s="20" t="str">
        <x:v>2.9.015</x:v>
      </x:c>
      <x:c r="B541" s="20" t="n">
        <x:v>101</x:v>
      </x:c>
      <x:c r="C541" s="20" t="str">
        <x:v>Part Two</x:v>
      </x:c>
      <x:c r="D541" s="20" t="str">
        <x:v>2.9</x:v>
      </x:c>
      <x:c r="E541" s="20" t="str">
        <x:v>Part Two — Generic Simplifications of Component Elements</x:v>
      </x:c>
      <x:c r="F541" s="20" t="str">
        <x:v>767652
[UNUSED
HJ]</x:v>
      </x:c>
      <x:c r="G541" s="20" t="str">
        <x:v>癶</x:v>
      </x:c>
      <x:c r="H541" s="20" t="str"/>
      <x:c r="I541" s="20" t="str"/>
      <x:c r="J541" s="20" t="str"/>
      <x:c r="K541" s="20" t="str">
        <x:v>{21}</x:v>
      </x:c>
      <x:c r="L541" s="20" t="str"/>
      <x:c r="M541" s="20" t="str"/>
      <x:c r="N541" s="20" t="str">
        <x:v>No parseable code point — manual review</x:v>
      </x:c>
      <x:c r="O541" s="20" t="str">
        <x:v>Medium</x:v>
      </x:c>
      <x:c r="P541" s="20" t="str">
        <x:v>Structured</x:v>
      </x:c>
      <x:c r="Q541" s="20" t="str">
        <x:v>2.9.015 | 767652 / [UNUSED / HJ] | 癶 |  |  | {21} |  |  |  |  |  |  | </x:v>
      </x:c>
      <x:c r="R541" s="20" t="str">
        <x:v>Uploaded: n2924-SecondStageSimplificationStatusv3.pdf</x:v>
      </x:c>
    </x:row>
    <x:row r="542">
      <x:c r="A542" s="20" t="str">
        <x:v>2.9.016</x:v>
      </x:c>
      <x:c r="B542" s="20" t="n">
        <x:v>102</x:v>
      </x:c>
      <x:c r="C542" s="20" t="str">
        <x:v>Part Two</x:v>
      </x:c>
      <x:c r="D542" s="20" t="str">
        <x:v>2.9</x:v>
      </x:c>
      <x:c r="E542" s="20" t="str">
        <x:v>Part Two — Generic Simplifications of Component Elements</x:v>
      </x:c>
      <x:c r="F542" s="20" t="str">
        <x:v>5C0F53
[TGH 1]</x:v>
      </x:c>
      <x:c r="G542" s="20" t="str"/>
      <x:c r="H542" s="20" t="str"/>
      <x:c r="I542" s="20" t="str"/>
      <x:c r="J542" s="20" t="str"/>
      <x:c r="K542" s="20" t="str">
        <x:v>⺗
氺</x:v>
      </x:c>
      <x:c r="L542" s="20" t="str"/>
      <x:c r="M542" s="20" t="str"/>
      <x:c r="N542" s="20" t="str">
        <x:v>No parseable code point — manual review</x:v>
      </x:c>
      <x:c r="O542" s="20" t="str">
        <x:v>Medium</x:v>
      </x:c>
      <x:c r="P542" s="20" t="str">
        <x:v>Structured</x:v>
      </x:c>
      <x:c r="Q542" s="20" t="str">
        <x:v>2.9.016 | 5C0F53 / [TGH 1] |  |  |  | ⺗ / 氺 |  |  |  | 2E97 / 6C3A |  |  | </x:v>
      </x:c>
      <x:c r="R542" s="20" t="str">
        <x:v>Uploaded: n2924-SecondStageSimplificationStatusv3.pdf</x:v>
      </x:c>
    </x:row>
  </x:sheetData>
  <x:conditionalFormatting sqref="O2:O542">
    <x:cfRule type="expression" dxfId="0" priority="1">
      <x:formula>O2="High"</x:formula>
    </x:cfRule>
    <x:cfRule type="expression" dxfId="1" priority="2">
      <x:formula>O2="Medium"</x:formula>
    </x:cfRule>
  </x:conditionalFormatting>
  <x:conditionalFormatting sqref="N2:N542">
    <x:cfRule type="expression" dxfId="2" priority="3">
      <x:formula>N2="Encoded now — Extension G"</x:formula>
    </x:cfRule>
  </x:conditionalFormatting>
  <x:conditionalFormatting sqref="P2:P542">
    <x:cfRule type="expression" dxfId="3" priority="4">
      <x:formula>P2&lt;&gt;"Structured"</x:formula>
    </x:cfRule>
  </x:conditionalFormatting>
  <x:dataValidations count="1">
    <x:dataValidation type="list" sqref="O2:O542">
      <x:formula1>"High,Medium,Low,Resolved"</x:formula1>
    </x:dataValidation>
  </x:dataValidations>
  <x:pageMargins left="0.7" right="0.7" top="0.75" bottom="0.75" header="0.3" footer="0.3"/>
  <x:tableParts count="1">
    <x:tablePart xmlns:r="http://schemas.openxmlformats.org/officeDocument/2006/relationships" r:id="Rc3865208982041f7"/>
  </x:tableParts>
</x:worksheet>
</file>

<file path=xl/worksheets/sheet4.xml><?xml version="1.0" encoding="utf-8"?>
<x:worksheet xmlns:x="http://schemas.openxmlformats.org/spreadsheetml/2006/main">
  <x:sheetFormatPr defaultRowHeight="15"/>
  <x:cols>
    <x:col min="1" max="1" width="7" hidden="0" customWidth="1"/>
    <x:col min="2" max="2" width="18" hidden="0" customWidth="1"/>
    <x:col min="3" max="3" width="10" hidden="0" customWidth="1"/>
    <x:col min="4" max="4" width="28" hidden="0" customWidth="1"/>
    <x:col min="5" max="5" width="10" hidden="0" customWidth="1"/>
    <x:col min="6" max="6" width="7" hidden="0" customWidth="1"/>
    <x:col min="7" max="7" width="16" hidden="0" customWidth="1"/>
    <x:col min="8" max="8" width="36" hidden="0" customWidth="1"/>
    <x:col min="9" max="9" width="44" hidden="0" customWidth="1"/>
    <x:col min="10" max="10" width="48" hidden="0" customWidth="1"/>
  </x:cols>
  <x:sheetData>
    <x:row r="1">
      <x:c r="A1" s="25" t="str">
        <x:v>Row</x:v>
      </x:c>
      <x:c r="B1" s="25" t="str">
        <x:v>IRG serial as printed</x:v>
      </x:c>
      <x:c r="C1" s="25" t="str">
        <x:v>Glyph</x:v>
      </x:c>
      <x:c r="D1" s="25" t="str">
        <x:v>IDS</x:v>
      </x:c>
      <x:c r="E1" s="25" t="str">
        <x:v>Radical</x:v>
      </x:c>
      <x:c r="F1" s="25" t="str">
        <x:v>SC</x:v>
      </x:c>
      <x:c r="G1" s="25" t="str">
        <x:v>Source witness</x:v>
      </x:c>
      <x:c r="H1" s="25" t="str">
        <x:v>Possible matching 2022 refs (IDS-only heuristic)</x:v>
      </x:c>
      <x:c r="I1" s="25" t="str">
        <x:v>Proposal note</x:v>
      </x:c>
      <x:c r="J1" s="25" t="str">
        <x:v>Source URL</x:v>
      </x:c>
    </x:row>
    <x:row r="2">
      <x:c r="A2" s="20" t="n">
        <x:v>1</x:v>
      </x:c>
      <x:c r="B2" s="20" t="str">
        <x:v>GEJ–000001</x:v>
      </x:c>
      <x:c r="C2" s="20" t="str"/>
      <x:c r="D2" s="20" t="str">
        <x:v>⿱宀覀</x:v>
      </x:c>
      <x:c r="E2" s="20" t="str">
        <x:v>40.0</x:v>
      </x:c>
      <x:c r="F2" s="20" t="str">
        <x:v>6</x:v>
      </x:c>
      <x:c r="G2" s="20" t="str">
        <x:v>EJ1977-PUB</x:v>
      </x:c>
      <x:c r="H2" s="20" t="str">
        <x:v>1.1.107</x:v>
      </x:c>
      <x:c r="I2" s="20" t="str">
        <x:v>Sample candidate; full list promised for next IRG meeting</x:v>
      </x:c>
      <x:c r="J2" s="20" t="str">
        <x:v>https://www.unicode.org/irg/docs/n2921-ChinaWSPreliminary.pdf</x:v>
      </x:c>
    </x:row>
    <x:row r="3">
      <x:c r="A3" s="20" t="n">
        <x:v>2</x:v>
      </x:c>
      <x:c r="B3" s="20" t="str">
        <x:v>GEJ–00002</x:v>
      </x:c>
      <x:c r="C3" s="20" t="str"/>
      <x:c r="D3" s="20" t="str">
        <x:v>⿰圼殳</x:v>
      </x:c>
      <x:c r="E3" s="20" t="str">
        <x:v>79.0</x:v>
      </x:c>
      <x:c r="F3" s="20" t="str">
        <x:v>7</x:v>
      </x:c>
      <x:c r="G3" s="20" t="str">
        <x:v>EJ1977-PUB</x:v>
      </x:c>
      <x:c r="H3" s="20" t="str">
        <x:v>1.1.051</x:v>
      </x:c>
      <x:c r="I3" s="20" t="str">
        <x:v>Sample candidate; full list promised for next IRG meeting</x:v>
      </x:c>
      <x:c r="J3" s="20" t="str">
        <x:v>https://www.unicode.org/irg/docs/n2921-ChinaWSPreliminary.pdf</x:v>
      </x:c>
    </x:row>
    <x:row r="4">
      <x:c r="A4" s="20" t="n">
        <x:v>3</x:v>
      </x:c>
      <x:c r="B4" s="20" t="str">
        <x:v>GEJ–00003</x:v>
      </x:c>
      <x:c r="C4" s="20" t="str"/>
      <x:c r="D4" s="20" t="str">
        <x:v>⿱夂贡</x:v>
      </x:c>
      <x:c r="E4" s="20" t="str">
        <x:v>34.0</x:v>
      </x:c>
      <x:c r="F4" s="20" t="str">
        <x:v>7</x:v>
      </x:c>
      <x:c r="G4" s="20" t="str">
        <x:v>EJ1981-REV</x:v>
      </x:c>
      <x:c r="H4" s="20" t="str"/>
      <x:c r="I4" s="20" t="str">
        <x:v>Sample candidate; full list promised for next IRG meeting</x:v>
      </x:c>
      <x:c r="J4" s="20" t="str">
        <x:v>https://www.unicode.org/irg/docs/n2921-ChinaWSPreliminary.pdf</x:v>
      </x:c>
    </x:row>
    <x:row r="5">
      <x:c r="A5" s="20" t="n">
        <x:v>4</x:v>
      </x:c>
      <x:c r="B5" s="20" t="str">
        <x:v>GEJ–00004</x:v>
      </x:c>
      <x:c r="C5" s="20" t="str"/>
      <x:c r="D5" s="20" t="str">
        <x:v>⿰羊山</x:v>
      </x:c>
      <x:c r="E5" s="20" t="str">
        <x:v>123.0</x:v>
      </x:c>
      <x:c r="F5" s="20" t="str">
        <x:v>3</x:v>
      </x:c>
      <x:c r="G5" s="20" t="str">
        <x:v>EJ1981-REV</x:v>
      </x:c>
      <x:c r="H5" s="20" t="str">
        <x:v>2.2.063</x:v>
      </x:c>
      <x:c r="I5" s="20" t="str">
        <x:v>Sample candidate; full list promised for next IRG meeting</x:v>
      </x:c>
      <x:c r="J5" s="20" t="str">
        <x:v>https://www.unicode.org/irg/docs/n2921-ChinaWSPreliminary.pdf</x:v>
      </x:c>
    </x:row>
    <x:row r="6">
      <x:c r="A6" s="20" t="n">
        <x:v>5</x:v>
      </x:c>
      <x:c r="B6" s="20" t="str">
        <x:v>GEJ–00005</x:v>
      </x:c>
      <x:c r="C6" s="20" t="str"/>
      <x:c r="D6" s="20" t="str">
        <x:v>⿰口⿳十冖疋</x:v>
      </x:c>
      <x:c r="E6" s="20" t="str">
        <x:v>30.0</x:v>
      </x:c>
      <x:c r="F6" s="20" t="str">
        <x:v>9</x:v>
      </x:c>
      <x:c r="G6" s="20" t="str">
        <x:v>EJ1981-REV</x:v>
      </x:c>
      <x:c r="H6" s="20" t="str"/>
      <x:c r="I6" s="20" t="str">
        <x:v>Sample candidate; full list promised for next IRG meeting</x:v>
      </x:c>
      <x:c r="J6" s="20" t="str">
        <x:v>https://www.unicode.org/irg/docs/n2921-ChinaWSPreliminary.pdf</x:v>
      </x:c>
    </x:row>
    <x:row r="7">
      <x:c r="A7" s="20" t="n">
        <x:v>6</x:v>
      </x:c>
      <x:c r="B7" s="20" t="str">
        <x:v>GEJ–00006</x:v>
      </x:c>
      <x:c r="C7" s="20" t="str"/>
      <x:c r="D7" s="20" t="str">
        <x:v>⿳竹大糸</x:v>
      </x:c>
      <x:c r="E7" s="20" t="str">
        <x:v>118.0</x:v>
      </x:c>
      <x:c r="F7" s="20" t="str">
        <x:v>9</x:v>
      </x:c>
      <x:c r="G7" s="20" t="str">
        <x:v>EJ1981-REV</x:v>
      </x:c>
      <x:c r="H7" s="20" t="str"/>
      <x:c r="I7" s="20" t="str">
        <x:v>Sample candidate; full list promised for next IRG meeting</x:v>
      </x:c>
      <x:c r="J7" s="20" t="str">
        <x:v>https://www.unicode.org/irg/docs/n2921-ChinaWSPreliminary.pdf</x:v>
      </x:c>
    </x:row>
    <x:row r="8">
      <x:c r="A8" s="20" t="n">
        <x:v>7</x:v>
      </x:c>
      <x:c r="B8" s="20" t="str">
        <x:v>GEJ–00007</x:v>
      </x:c>
      <x:c r="C8" s="20" t="str"/>
      <x:c r="D8" s="20" t="str">
        <x:v>⿻大⿱一</x:v>
      </x:c>
      <x:c r="E8" s="20" t="str">
        <x:v>37.0</x:v>
      </x:c>
      <x:c r="F8" s="20" t="str">
        <x:v>2</x:v>
      </x:c>
      <x:c r="G8" s="20" t="str">
        <x:v>EJ1981-REV</x:v>
      </x:c>
      <x:c r="H8" s="20" t="str"/>
      <x:c r="I8" s="20" t="str">
        <x:v>Sample candidate; full list promised for next IRG meeting</x:v>
      </x:c>
      <x:c r="J8" s="20" t="str">
        <x:v>https://www.unicode.org/irg/docs/n2921-ChinaWSPreliminary.pdf</x:v>
      </x:c>
    </x:row>
    <x:row r="9">
      <x:c r="A9" s="20" t="n">
        <x:v>8</x:v>
      </x:c>
      <x:c r="B9" s="20" t="str">
        <x:v>GEJ–00008</x:v>
      </x:c>
      <x:c r="C9" s="20" t="str"/>
      <x:c r="D9" s="20" t="str">
        <x:v>⿱由又</x:v>
      </x:c>
      <x:c r="E9" s="20" t="str">
        <x:v>29.0</x:v>
      </x:c>
      <x:c r="F9" s="20" t="str">
        <x:v>5</x:v>
      </x:c>
      <x:c r="G9" s="20" t="str">
        <x:v>EJ1981-REV</x:v>
      </x:c>
      <x:c r="H9" s="20" t="str"/>
      <x:c r="I9" s="20" t="str">
        <x:v>Sample candidate; full list promised for next IRG meeting</x:v>
      </x:c>
      <x:c r="J9" s="20" t="str">
        <x:v>https://www.unicode.org/irg/docs/n2921-ChinaWSPreliminary.pdf</x:v>
      </x:c>
    </x:row>
    <x:row r="10">
      <x:c r="A10" s="20" t="n">
        <x:v>9</x:v>
      </x:c>
      <x:c r="B10" s="20" t="str">
        <x:v>GEJ–00009</x:v>
      </x:c>
      <x:c r="C10" s="20" t="str"/>
      <x:c r="D10" s="20" t="str">
        <x:v>㇯具一</x:v>
      </x:c>
      <x:c r="E10" s="20" t="str">
        <x:v>12.0</x:v>
      </x:c>
      <x:c r="F10" s="20" t="str">
        <x:v>5</x:v>
      </x:c>
      <x:c r="G10" s="20" t="str">
        <x:v>EJ1981-REV</x:v>
      </x:c>
      <x:c r="H10" s="20" t="str"/>
      <x:c r="I10" s="20" t="str">
        <x:v>Sample candidate; full list promised for next IRG meeting</x:v>
      </x:c>
      <x:c r="J10" s="20" t="str">
        <x:v>https://www.unicode.org/irg/docs/n2921-ChinaWSPreliminary.pdf</x:v>
      </x:c>
    </x:row>
    <x:row r="11">
      <x:c r="A11" s="20" t="n">
        <x:v>10</x:v>
      </x:c>
      <x:c r="B11" s="20" t="str">
        <x:v>GEJ–00010</x:v>
      </x:c>
      <x:c r="C11" s="20" t="str"/>
      <x:c r="D11" s="20" t="str">
        <x:v>㇯真一</x:v>
      </x:c>
      <x:c r="E11" s="20" t="str">
        <x:v>12.0</x:v>
      </x:c>
      <x:c r="F11" s="20" t="str">
        <x:v>7</x:v>
      </x:c>
      <x:c r="G11" s="20" t="str">
        <x:v>EJ1981-REV</x:v>
      </x:c>
      <x:c r="H11" s="20" t="str"/>
      <x:c r="I11" s="20" t="str">
        <x:v>Sample candidate; full list promised for next IRG meeting</x:v>
      </x:c>
      <x:c r="J11" s="20" t="str">
        <x:v>https://www.unicode.org/irg/docs/n2921-ChinaWSPreliminary.pdf</x:v>
      </x:c>
    </x:row>
    <x:row r="12">
      <x:c r="A12" s="20" t="n">
        <x:v>11</x:v>
      </x:c>
      <x:c r="B12" s="20" t="str">
        <x:v>GEJ–00011</x:v>
      </x:c>
      <x:c r="C12" s="20" t="str"/>
      <x:c r="D12" s="20" t="str">
        <x:v>㇯直一</x:v>
      </x:c>
      <x:c r="E12" s="20" t="str">
        <x:v>24.0</x:v>
      </x:c>
      <x:c r="F12" s="20" t="str">
        <x:v>5</x:v>
      </x:c>
      <x:c r="G12" s="20" t="str">
        <x:v>EJ1981-REV</x:v>
      </x:c>
      <x:c r="H12" s="20" t="str"/>
      <x:c r="I12" s="20" t="str">
        <x:v>Sample candidate; full list promised for next IRG meeting</x:v>
      </x:c>
      <x:c r="J12" s="20" t="str">
        <x:v>https://www.unicode.org/irg/docs/n2921-ChinaWSPreliminary.pdf</x:v>
      </x:c>
    </x:row>
    <x:row r="13">
      <x:c r="A13" s="20" t="n">
        <x:v>12</x:v>
      </x:c>
      <x:c r="B13" s="20" t="str">
        <x:v>GEJ–00012</x:v>
      </x:c>
      <x:c r="C13" s="20" t="str"/>
      <x:c r="D13" s="20" t="str">
        <x:v>⿰口⿱⿰亻⿻乚二一</x:v>
      </x:c>
      <x:c r="E13" s="20" t="str">
        <x:v>30.0</x:v>
      </x:c>
      <x:c r="F13" s="20" t="str">
        <x:v>6</x:v>
      </x:c>
      <x:c r="G13" s="20" t="str">
        <x:v>EJ1977-PUB</x:v>
      </x:c>
      <x:c r="H13" s="20" t="str"/>
      <x:c r="I13" s="20" t="str">
        <x:v>Sample candidate; full list promised for next IRG meeting</x:v>
      </x:c>
      <x:c r="J13" s="20" t="str">
        <x:v>https://www.unicode.org/irg/docs/n2921-ChinaWSPreliminary.pdf</x:v>
      </x:c>
    </x:row>
    <x:row r="14">
      <x:c r="A14" s="20" t="n">
        <x:v>13</x:v>
      </x:c>
      <x:c r="B14" s="20" t="str">
        <x:v>GEJ–00013</x:v>
      </x:c>
      <x:c r="C14" s="20" t="str"/>
      <x:c r="D14" s="20" t="str">
        <x:v>⿱夃</x:v>
      </x:c>
      <x:c r="E14" s="20" t="str">
        <x:v>108’.0</x:v>
      </x:c>
      <x:c r="F14" s="20" t="str">
        <x:v>4</x:v>
      </x:c>
      <x:c r="G14" s="20" t="str">
        <x:v>EJ1977-PUB</x:v>
      </x:c>
      <x:c r="H14" s="20" t="str">
        <x:v>2.1.058</x:v>
      </x:c>
      <x:c r="I14" s="20" t="str">
        <x:v>Sample candidate; full list promised for next IRG meeting</x:v>
      </x:c>
      <x:c r="J14" s="20" t="str">
        <x:v>https://www.unicode.org/irg/docs/n2921-ChinaWSPreliminary.pdf</x:v>
      </x:c>
    </x:row>
    <x:row r="15">
      <x:c r="A15" s="20" t="n">
        <x:v>14</x:v>
      </x:c>
      <x:c r="B15" s="20" t="str">
        <x:v>GEJ–00014</x:v>
      </x:c>
      <x:c r="C15" s="20" t="str"/>
      <x:c r="D15" s="20" t="str">
        <x:v>⿸疒力</x:v>
      </x:c>
      <x:c r="E15" s="20" t="str">
        <x:v>104.0</x:v>
      </x:c>
      <x:c r="F15" s="20" t="str">
        <x:v>2</x:v>
      </x:c>
      <x:c r="G15" s="20" t="str">
        <x:v>EJ1977-PUB</x:v>
      </x:c>
      <x:c r="H15" s="20" t="str">
        <x:v>2.2.039</x:v>
      </x:c>
      <x:c r="I15" s="20" t="str">
        <x:v>Sample candidate; full list promised for next IRG meeting</x:v>
      </x:c>
      <x:c r="J15" s="20" t="str">
        <x:v>https://www.unicode.org/irg/docs/n2921-ChinaWSPreliminary.pdf</x:v>
      </x:c>
    </x:row>
    <x:row r="16">
      <x:c r="A16" s="20" t="n">
        <x:v>15</x:v>
      </x:c>
      <x:c r="B16" s="20" t="str">
        <x:v>GEJ–00015</x:v>
      </x:c>
      <x:c r="C16" s="20" t="str"/>
      <x:c r="D16" s="20" t="str">
        <x:v>⿱㇯雨丷巴</x:v>
      </x:c>
      <x:c r="E16" s="20" t="str">
        <x:v>173’.0</x:v>
      </x:c>
      <x:c r="F16" s="20" t="str">
        <x:v>4</x:v>
      </x:c>
      <x:c r="G16" s="20" t="str">
        <x:v>EJ1977-PUB</x:v>
      </x:c>
      <x:c r="H16" s="20" t="str"/>
      <x:c r="I16" s="20" t="str">
        <x:v>Sample candidate; full list promised for next IRG meeting</x:v>
      </x:c>
      <x:c r="J16" s="20" t="str">
        <x:v>https://www.unicode.org/irg/docs/n2921-ChinaWSPreliminary.pdf</x:v>
      </x:c>
    </x:row>
    <x:row r="17">
      <x:c r="A17" s="20" t="n">
        <x:v>16</x:v>
      </x:c>
      <x:c r="B17" s="20" t="str">
        <x:v>GEJ–00016</x:v>
      </x:c>
      <x:c r="C17" s="20" t="str"/>
      <x:c r="D17" s="20" t="str">
        <x:v>⿱艹半</x:v>
      </x:c>
      <x:c r="E17" s="20" t="str">
        <x:v>140’.0</x:v>
      </x:c>
      <x:c r="F17" s="20" t="str">
        <x:v>5</x:v>
      </x:c>
      <x:c r="G17" s="20" t="str">
        <x:v>EJ1977-PUB</x:v>
      </x:c>
      <x:c r="H17" s="20" t="str">
        <x:v>2.2.003</x:v>
      </x:c>
      <x:c r="I17" s="20" t="str">
        <x:v>Sample candidate; full list promised for next IRG meeting</x:v>
      </x:c>
      <x:c r="J17" s="20" t="str">
        <x:v>https://www.unicode.org/irg/docs/n2921-ChinaWSPreliminary.pdf</x:v>
      </x:c>
    </x:row>
    <x:row r="18">
      <x:c r="A18" s="20" t="n">
        <x:v>17</x:v>
      </x:c>
      <x:c r="B18" s="20" t="str">
        <x:v>GEJ–00017</x:v>
      </x:c>
      <x:c r="C18" s="20" t="str"/>
      <x:c r="D18" s="20" t="str">
        <x:v>⿺辶比</x:v>
      </x:c>
      <x:c r="E18" s="20" t="str">
        <x:v>162’.0</x:v>
      </x:c>
      <x:c r="F18" s="20" t="str">
        <x:v>4</x:v>
      </x:c>
      <x:c r="G18" s="20" t="str">
        <x:v>EJ1977-PUB</x:v>
      </x:c>
      <x:c r="H18" s="20" t="str">
        <x:v>2.2.007</x:v>
      </x:c>
      <x:c r="I18" s="20" t="str">
        <x:v>Sample candidate; full list promised for next IRG meeting</x:v>
      </x:c>
      <x:c r="J18" s="20" t="str">
        <x:v>https://www.unicode.org/irg/docs/n2921-ChinaWSPreliminary.pdf</x:v>
      </x:c>
    </x:row>
    <x:row r="19">
      <x:c r="A19" s="20" t="n">
        <x:v>18</x:v>
      </x:c>
      <x:c r="B19" s="20" t="str">
        <x:v>GEJ–00018</x:v>
      </x:c>
      <x:c r="C19" s="20" t="str"/>
      <x:c r="D19" s="20" t="str">
        <x:v>⿱布</x:v>
      </x:c>
      <x:c r="E19" s="20" t="str">
        <x:v>118.0</x:v>
      </x:c>
      <x:c r="F19" s="20" t="str">
        <x:v>5</x:v>
      </x:c>
      <x:c r="G19" s="20" t="str">
        <x:v>EJ1977-PUB</x:v>
      </x:c>
      <x:c r="H19" s="20" t="str"/>
      <x:c r="I19" s="20" t="str">
        <x:v>Sample candidate; full list promised for next IRG meeting</x:v>
      </x:c>
      <x:c r="J19" s="20" t="str">
        <x:v>https://www.unicode.org/irg/docs/n2921-ChinaWSPreliminary.pdf</x:v>
      </x:c>
    </x:row>
    <x:row r="20">
      <x:c r="A20" s="20" t="n">
        <x:v>19</x:v>
      </x:c>
      <x:c r="B20" s="20" t="str">
        <x:v>GEJ–00019</x:v>
      </x:c>
      <x:c r="C20" s="20" t="str"/>
      <x:c r="D20" s="20" t="str">
        <x:v>⿰出戈</x:v>
      </x:c>
      <x:c r="E20" s="20" t="str">
        <x:v>62.0</x:v>
      </x:c>
      <x:c r="F20" s="20" t="str">
        <x:v>5</x:v>
      </x:c>
      <x:c r="G20" s="20" t="str">
        <x:v>EJ1977-PUB</x:v>
      </x:c>
      <x:c r="H20" s="20" t="str">
        <x:v>2.2.011</x:v>
      </x:c>
      <x:c r="I20" s="20" t="str">
        <x:v>Sample candidate; full list promised for next IRG meeting</x:v>
      </x:c>
      <x:c r="J20" s="20" t="str">
        <x:v>https://www.unicode.org/irg/docs/n2921-ChinaWSPreliminary.pdf</x:v>
      </x:c>
    </x:row>
    <x:row r="21">
      <x:c r="A21" s="20" t="n">
        <x:v>20</x:v>
      </x:c>
      <x:c r="B21" s="20" t="str">
        <x:v>GEJ–00020</x:v>
      </x:c>
      <x:c r="C21" s="20" t="str"/>
      <x:c r="D21" s="20" t="str">
        <x:v>⿰讠旦</x:v>
      </x:c>
      <x:c r="E21" s="20" t="str">
        <x:v>149’.0</x:v>
      </x:c>
      <x:c r="F21" s="20" t="str">
        <x:v>5</x:v>
      </x:c>
      <x:c r="G21" s="20" t="str">
        <x:v>EJ1977-PUB</x:v>
      </x:c>
      <x:c r="H21" s="20" t="str">
        <x:v>2.2.012</x:v>
      </x:c>
      <x:c r="I21" s="20" t="str">
        <x:v>Sample candidate; full list promised for next IRG meeting</x:v>
      </x:c>
      <x:c r="J21" s="20" t="str">
        <x:v>https://www.unicode.org/irg/docs/n2921-ChinaWSPreliminary.pdf</x:v>
      </x:c>
    </x:row>
    <x:row r="22">
      <x:c r="A22" s="20" t="n">
        <x:v>21</x:v>
      </x:c>
      <x:c r="B22" s="20" t="str">
        <x:v>GEJ–00021</x:v>
      </x:c>
      <x:c r="C22" s="20" t="str"/>
      <x:c r="D22" s="20" t="str">
        <x:v>⿰扌凡</x:v>
      </x:c>
      <x:c r="E22" s="20" t="str">
        <x:v>64’.0</x:v>
      </x:c>
      <x:c r="F22" s="20" t="str">
        <x:v>3</x:v>
      </x:c>
      <x:c r="G22" s="20" t="str">
        <x:v>EJ1977-PUB</x:v>
      </x:c>
      <x:c r="H22" s="20" t="str">
        <x:v>2.2.017</x:v>
      </x:c>
      <x:c r="I22" s="20" t="str">
        <x:v>Sample candidate; full list promised for next IRG meeting</x:v>
      </x:c>
      <x:c r="J22" s="20" t="str">
        <x:v>https://www.unicode.org/irg/docs/n2921-ChinaWSPreliminary.pdf</x:v>
      </x:c>
    </x:row>
    <x:row r="23">
      <x:c r="A23" s="20" t="n">
        <x:v>22</x:v>
      </x:c>
      <x:c r="B23" s="20" t="str">
        <x:v>GEJ–00022</x:v>
      </x:c>
      <x:c r="C23" s="20" t="str"/>
      <x:c r="D23" s="20" t="str">
        <x:v>⿰纟凡</x:v>
      </x:c>
      <x:c r="E23" s="20" t="str">
        <x:v>120’.0</x:v>
      </x:c>
      <x:c r="F23" s="20" t="str">
        <x:v>3</x:v>
      </x:c>
      <x:c r="G23" s="20" t="str">
        <x:v>EJ1977-PUB</x:v>
      </x:c>
      <x:c r="H23" s="20" t="str">
        <x:v>2.2.018</x:v>
      </x:c>
      <x:c r="I23" s="20" t="str">
        <x:v>Sample candidate; full list promised for next IRG meeting</x:v>
      </x:c>
      <x:c r="J23" s="20" t="str">
        <x:v>https://www.unicode.org/irg/docs/n2921-ChinaWSPreliminary.pdf</x:v>
      </x:c>
    </x:row>
    <x:row r="24">
      <x:c r="A24" s="20" t="n">
        <x:v>23</x:v>
      </x:c>
      <x:c r="B24" s="20" t="str">
        <x:v>GEJ–00023</x:v>
      </x:c>
      <x:c r="C24" s="20" t="str"/>
      <x:c r="D24" s="20" t="str">
        <x:v>⿺辶丰</x:v>
      </x:c>
      <x:c r="E24" s="20" t="str">
        <x:v>162’.0</x:v>
      </x:c>
      <x:c r="F24" s="20" t="str">
        <x:v>4</x:v>
      </x:c>
      <x:c r="G24" s="20" t="str">
        <x:v>EJ1977-PUB</x:v>
      </x:c>
      <x:c r="H24" s="20" t="str">
        <x:v>2.2.019</x:v>
      </x:c>
      <x:c r="I24" s="20" t="str">
        <x:v>Sample candidate; full list promised for next IRG meeting</x:v>
      </x:c>
      <x:c r="J24" s="20" t="str">
        <x:v>https://www.unicode.org/irg/docs/n2921-ChinaWSPreliminary.pdf</x:v>
      </x:c>
    </x:row>
    <x:row r="25">
      <x:c r="A25" s="20" t="n">
        <x:v>24</x:v>
      </x:c>
      <x:c r="B25" s="20" t="str">
        <x:v>GEJ–00024</x:v>
      </x:c>
      <x:c r="C25" s="20" t="str"/>
      <x:c r="D25" s="20" t="str">
        <x:v>⿰纟丰</x:v>
      </x:c>
      <x:c r="E25" s="20" t="str">
        <x:v>120’.0</x:v>
      </x:c>
      <x:c r="F25" s="20" t="str">
        <x:v>4</x:v>
      </x:c>
      <x:c r="G25" s="20" t="str">
        <x:v>EJ1977-PUB</x:v>
      </x:c>
      <x:c r="H25" s="20" t="str">
        <x:v>2.2.020</x:v>
      </x:c>
      <x:c r="I25" s="20" t="str">
        <x:v>Sample candidate; full list promised for next IRG meeting</x:v>
      </x:c>
      <x:c r="J25" s="20" t="str">
        <x:v>https://www.unicode.org/irg/docs/n2921-ChinaWSPreliminary.pdf</x:v>
      </x:c>
    </x:row>
    <x:row r="26">
      <x:c r="A26" s="20" t="n">
        <x:v>25</x:v>
      </x:c>
      <x:c r="B26" s="20" t="str">
        <x:v>GEJ–00025</x:v>
      </x:c>
      <x:c r="C26" s="20" t="str"/>
      <x:c r="D26" s="20" t="str">
        <x:v>⿰耒工</x:v>
      </x:c>
      <x:c r="E26" s="20" t="str">
        <x:v>127.0</x:v>
      </x:c>
      <x:c r="F26" s="20" t="str">
        <x:v>3</x:v>
      </x:c>
      <x:c r="G26" s="20" t="str">
        <x:v>EJ1977-PUB</x:v>
      </x:c>
      <x:c r="H26" s="20" t="str">
        <x:v>2.2.031</x:v>
      </x:c>
      <x:c r="I26" s="20" t="str">
        <x:v>Sample candidate; full list promised for next IRG meeting</x:v>
      </x:c>
      <x:c r="J26" s="20" t="str">
        <x:v>https://www.unicode.org/irg/docs/n2921-ChinaWSPreliminary.pdf</x:v>
      </x:c>
    </x:row>
    <x:row r="27">
      <x:c r="A27" s="20" t="n">
        <x:v>26</x:v>
      </x:c>
      <x:c r="B27" s="20" t="str">
        <x:v>GEJ–00026</x:v>
      </x:c>
      <x:c r="C27" s="20" t="str"/>
      <x:c r="D27" s="20" t="str">
        <x:v>⿸厂九</x:v>
      </x:c>
      <x:c r="E27" s="20" t="str">
        <x:v>27.0</x:v>
      </x:c>
      <x:c r="F27" s="20" t="str">
        <x:v>2</x:v>
      </x:c>
      <x:c r="G27" s="20" t="str">
        <x:v>EJ1977-PUB</x:v>
      </x:c>
      <x:c r="H27" s="20" t="str">
        <x:v>2.2.034</x:v>
      </x:c>
      <x:c r="I27" s="20" t="str">
        <x:v>Sample candidate; full list promised for next IRG meeting</x:v>
      </x:c>
      <x:c r="J27" s="20" t="str">
        <x:v>https://www.unicode.org/irg/docs/n2921-ChinaWSPreliminary.pdf</x:v>
      </x:c>
    </x:row>
    <x:row r="28">
      <x:c r="A28" s="20" t="n">
        <x:v>27</x:v>
      </x:c>
      <x:c r="B28" s="20" t="str">
        <x:v>GEJ–00027</x:v>
      </x:c>
      <x:c r="C28" s="20" t="str"/>
      <x:c r="D28" s="20" t="str">
        <x:v>⿸厂夬</x:v>
      </x:c>
      <x:c r="E28" s="20" t="str">
        <x:v>27.0</x:v>
      </x:c>
      <x:c r="F28" s="20" t="str">
        <x:v>4</x:v>
      </x:c>
      <x:c r="G28" s="20" t="str">
        <x:v>EJ1977-PUB</x:v>
      </x:c>
      <x:c r="H28" s="20" t="str">
        <x:v>2.2.035</x:v>
      </x:c>
      <x:c r="I28" s="20" t="str">
        <x:v>Sample candidate; full list promised for next IRG meeting</x:v>
      </x:c>
      <x:c r="J28" s="20" t="str">
        <x:v>https://www.unicode.org/irg/docs/n2921-ChinaWSPreliminary.pdf</x:v>
      </x:c>
    </x:row>
    <x:row r="29">
      <x:c r="A29" s="20" t="n">
        <x:v>28</x:v>
      </x:c>
      <x:c r="B29" s="20" t="str">
        <x:v>GEJ–00028</x:v>
      </x:c>
      <x:c r="C29" s="20" t="str"/>
      <x:c r="D29" s="20" t="str">
        <x:v>⿸疒力</x:v>
      </x:c>
      <x:c r="E29" s="20" t="str">
        <x:v>104.0</x:v>
      </x:c>
      <x:c r="F29" s="20" t="str">
        <x:v>2</x:v>
      </x:c>
      <x:c r="G29" s="20" t="str">
        <x:v>EJ1977-PUB</x:v>
      </x:c>
      <x:c r="H29" s="20" t="str">
        <x:v>2.2.039</x:v>
      </x:c>
      <x:c r="I29" s="20" t="str">
        <x:v>Sample candidate; full list promised for next IRG meeting</x:v>
      </x:c>
      <x:c r="J29" s="20" t="str">
        <x:v>https://www.unicode.org/irg/docs/n2921-ChinaWSPreliminary.pdf</x:v>
      </x:c>
    </x:row>
    <x:row r="30">
      <x:c r="A30" s="20" t="n">
        <x:v>29</x:v>
      </x:c>
      <x:c r="B30" s="20" t="str">
        <x:v>GEJ–00029</x:v>
      </x:c>
      <x:c r="C30" s="20" t="str"/>
      <x:c r="D30" s="20" t="str">
        <x:v>⿰彳力</x:v>
      </x:c>
      <x:c r="E30" s="20" t="str">
        <x:v>60.0</x:v>
      </x:c>
      <x:c r="F30" s="20" t="str">
        <x:v>2</x:v>
      </x:c>
      <x:c r="G30" s="20" t="str">
        <x:v>EJ1977-PUB</x:v>
      </x:c>
      <x:c r="H30" s="20" t="str">
        <x:v>2.2.041</x:v>
      </x:c>
      <x:c r="I30" s="20" t="str">
        <x:v>Sample candidate; full list promised for next IRG meeting</x:v>
      </x:c>
      <x:c r="J30" s="20" t="str">
        <x:v>https://www.unicode.org/irg/docs/n2921-ChinaWSPreliminary.pdf</x:v>
      </x:c>
    </x:row>
    <x:row r="31">
      <x:c r="A31" s="20" t="n">
        <x:v>30</x:v>
      </x:c>
      <x:c r="B31" s="20" t="str">
        <x:v>GEJ–00030</x:v>
      </x:c>
      <x:c r="C31" s="20" t="str"/>
      <x:c r="D31" s="20" t="str">
        <x:v>⿱力十</x:v>
      </x:c>
      <x:c r="E31" s="20" t="str">
        <x:v>19.0</x:v>
      </x:c>
      <x:c r="F31" s="20" t="str">
        <x:v>2</x:v>
      </x:c>
      <x:c r="G31" s="20" t="str">
        <x:v>EJ1977-PUB</x:v>
      </x:c>
      <x:c r="H31" s="20" t="str">
        <x:v>2.2.042</x:v>
      </x:c>
      <x:c r="I31" s="20" t="str">
        <x:v>Sample candidate; full list promised for next IRG meeting</x:v>
      </x:c>
      <x:c r="J31" s="20" t="str">
        <x:v>https://www.unicode.org/irg/docs/n2921-ChinaWSPreliminary.pdf</x:v>
      </x:c>
    </x:row>
    <x:row r="32">
      <x:c r="A32" s="20" t="n">
        <x:v>31</x:v>
      </x:c>
      <x:c r="B32" s="20" t="str">
        <x:v>GEJ–00031</x:v>
      </x:c>
      <x:c r="C32" s="20" t="str"/>
      <x:c r="D32" s="20" t="str">
        <x:v>⿰耳了</x:v>
      </x:c>
      <x:c r="E32" s="20" t="str">
        <x:v>128.0</x:v>
      </x:c>
      <x:c r="F32" s="20" t="str">
        <x:v>2</x:v>
      </x:c>
      <x:c r="G32" s="20" t="str">
        <x:v>EJ1975-DFT</x:v>
      </x:c>
      <x:c r="H32" s="20" t="str">
        <x:v>2.2.043</x:v>
      </x:c>
      <x:c r="I32" s="20" t="str">
        <x:v>Sample candidate; full list promised for next IRG meeting</x:v>
      </x:c>
      <x:c r="J32" s="20" t="str">
        <x:v>https://www.unicode.org/irg/docs/n2921-ChinaWSPreliminary.pdf</x:v>
      </x:c>
    </x:row>
    <x:row r="33">
      <x:c r="A33" s="20" t="n">
        <x:v>32</x:v>
      </x:c>
      <x:c r="B33" s="20" t="str">
        <x:v>GEJ–00032</x:v>
      </x:c>
      <x:c r="C33" s="20" t="str"/>
      <x:c r="D33" s="20" t="str">
        <x:v>⿰㇯耳二了</x:v>
      </x:c>
      <x:c r="E33" s="20" t="str">
        <x:v>128’.0</x:v>
      </x:c>
      <x:c r="F33" s="20" t="str">
        <x:v>2</x:v>
      </x:c>
      <x:c r="G33" s="20" t="str">
        <x:v>EJ1977-PUB</x:v>
      </x:c>
      <x:c r="H33" s="20" t="str"/>
      <x:c r="I33" s="20" t="str">
        <x:v>Sample candidate; full list promised for next IRG meeting</x:v>
      </x:c>
      <x:c r="J33" s="20" t="str">
        <x:v>https://www.unicode.org/irg/docs/n2921-ChinaWSPreliminary.pdf</x:v>
      </x:c>
    </x:row>
    <x:row r="34">
      <x:c r="A34" s="20" t="n">
        <x:v>33</x:v>
      </x:c>
      <x:c r="B34" s="20" t="str">
        <x:v>GEJ–00033</x:v>
      </x:c>
      <x:c r="C34" s="20" t="str"/>
      <x:c r="D34" s="20" t="str">
        <x:v>⿱艹么</x:v>
      </x:c>
      <x:c r="E34" s="20" t="str">
        <x:v>140’.0</x:v>
      </x:c>
      <x:c r="F34" s="20" t="str">
        <x:v>3</x:v>
      </x:c>
      <x:c r="G34" s="20" t="str">
        <x:v>EJ1977-PUB</x:v>
      </x:c>
      <x:c r="H34" s="20" t="str">
        <x:v>2.2.046</x:v>
      </x:c>
      <x:c r="I34" s="20" t="str">
        <x:v>Sample candidate; full list promised for next IRG meeting</x:v>
      </x:c>
      <x:c r="J34" s="20" t="str">
        <x:v>https://www.unicode.org/irg/docs/n2921-ChinaWSPreliminary.pdf</x:v>
      </x:c>
    </x:row>
    <x:row r="35">
      <x:c r="A35" s="20" t="n">
        <x:v>34</x:v>
      </x:c>
      <x:c r="B35" s="20" t="str">
        <x:v>GEJ–00034</x:v>
      </x:c>
      <x:c r="C35" s="20" t="str"/>
      <x:c r="D35" s="20" t="str">
        <x:v>⿺辶欠</x:v>
      </x:c>
      <x:c r="E35" s="20" t="str">
        <x:v>162’.0</x:v>
      </x:c>
      <x:c r="F35" s="20" t="str">
        <x:v>4</x:v>
      </x:c>
      <x:c r="G35" s="20" t="str">
        <x:v>EJ1977-PUB</x:v>
      </x:c>
      <x:c r="H35" s="20" t="str"/>
      <x:c r="I35" s="20" t="str">
        <x:v>Sample candidate; full list promised for next IRG meeting</x:v>
      </x:c>
      <x:c r="J35" s="20" t="str">
        <x:v>https://www.unicode.org/irg/docs/n2921-ChinaWSPreliminary.pdf</x:v>
      </x:c>
    </x:row>
    <x:row r="36">
      <x:c r="A36" s="20" t="n">
        <x:v>35</x:v>
      </x:c>
      <x:c r="B36" s="20" t="str">
        <x:v>GEJ–00035</x:v>
      </x:c>
      <x:c r="C36" s="20" t="str"/>
      <x:c r="D36" s="20" t="str">
        <x:v>⿰讠⿺辶欠</x:v>
      </x:c>
      <x:c r="E36" s="20" t="str">
        <x:v>149’.0</x:v>
      </x:c>
      <x:c r="F36" s="20" t="str">
        <x:v>7</x:v>
      </x:c>
      <x:c r="G36" s="20" t="str">
        <x:v>EJ1977-PUB</x:v>
      </x:c>
      <x:c r="H36" s="20" t="str"/>
      <x:c r="I36" s="20" t="str">
        <x:v>Sample candidate; full list promised for next IRG meeting</x:v>
      </x:c>
      <x:c r="J36" s="20" t="str">
        <x:v>https://www.unicode.org/irg/docs/n2921-ChinaWSPreliminary.pdf</x:v>
      </x:c>
    </x:row>
    <x:row r="37">
      <x:c r="A37" s="20" t="n">
        <x:v>36</x:v>
      </x:c>
      <x:c r="B37" s="20" t="str">
        <x:v>GEJ–00036</x:v>
      </x:c>
      <x:c r="C37" s="20" t="str"/>
      <x:c r="D37" s="20" t="str">
        <x:v>⿰目乔</x:v>
      </x:c>
      <x:c r="E37" s="20" t="str">
        <x:v>109.0</x:v>
      </x:c>
      <x:c r="F37" s="20" t="str">
        <x:v>6</x:v>
      </x:c>
      <x:c r="G37" s="20" t="str">
        <x:v>EJ1977-PUB</x:v>
      </x:c>
      <x:c r="H37" s="20" t="str">
        <x:v>2.2.054</x:v>
      </x:c>
      <x:c r="I37" s="20" t="str">
        <x:v>Sample candidate; full list promised for next IRG meeting</x:v>
      </x:c>
      <x:c r="J37" s="20" t="str">
        <x:v>https://www.unicode.org/irg/docs/n2921-ChinaWSPreliminary.pdf</x:v>
      </x:c>
    </x:row>
    <x:row r="38">
      <x:c r="A38" s="20" t="n">
        <x:v>37</x:v>
      </x:c>
      <x:c r="B38" s="20" t="str">
        <x:v>GEJ–00037</x:v>
      </x:c>
      <x:c r="C38" s="20" t="str"/>
      <x:c r="D38" s="20" t="str">
        <x:v>⿰瓜上</x:v>
      </x:c>
      <x:c r="E38" s="20" t="str">
        <x:v>97.0</x:v>
      </x:c>
      <x:c r="F38" s="20" t="str">
        <x:v>3</x:v>
      </x:c>
      <x:c r="G38" s="20" t="str">
        <x:v>EJ1977-PUB</x:v>
      </x:c>
      <x:c r="H38" s="20" t="str"/>
      <x:c r="I38" s="20" t="str">
        <x:v>Sample candidate; full list promised for next IRG meeting</x:v>
      </x:c>
      <x:c r="J38" s="20" t="str">
        <x:v>https://www.unicode.org/irg/docs/n2921-ChinaWSPreliminary.pdf</x:v>
      </x:c>
    </x:row>
    <x:row r="39">
      <x:c r="A39" s="20" t="n">
        <x:v>38</x:v>
      </x:c>
      <x:c r="B39" s="20" t="str">
        <x:v>GEJ–00038</x:v>
      </x:c>
      <x:c r="C39" s="20" t="str"/>
      <x:c r="D39" s="20" t="str">
        <x:v>⿰扌上</x:v>
      </x:c>
      <x:c r="E39" s="20" t="str">
        <x:v>64’.0</x:v>
      </x:c>
      <x:c r="F39" s="20" t="str">
        <x:v>3</x:v>
      </x:c>
      <x:c r="G39" s="20" t="str">
        <x:v>EJ1977-PUB</x:v>
      </x:c>
      <x:c r="H39" s="20" t="str">
        <x:v>2.2.057</x:v>
      </x:c>
      <x:c r="I39" s="20" t="str">
        <x:v>Sample candidate; full list promised for next IRG meeting</x:v>
      </x:c>
      <x:c r="J39" s="20" t="str">
        <x:v>https://www.unicode.org/irg/docs/n2921-ChinaWSPreliminary.pdf</x:v>
      </x:c>
    </x:row>
    <x:row r="40">
      <x:c r="A40" s="20" t="n">
        <x:v>39</x:v>
      </x:c>
      <x:c r="B40" s="20" t="str">
        <x:v>GEJ–00039</x:v>
      </x:c>
      <x:c r="C40" s="20" t="str"/>
      <x:c r="D40" s="20" t="str">
        <x:v>⿰子入</x:v>
      </x:c>
      <x:c r="E40" s="20" t="str">
        <x:v>39.0</x:v>
      </x:c>
      <x:c r="F40" s="20" t="str">
        <x:v>2</x:v>
      </x:c>
      <x:c r="G40" s="20" t="str">
        <x:v>EJ1977-PUB</x:v>
      </x:c>
      <x:c r="H40" s="20" t="str">
        <x:v>2.2.058</x:v>
      </x:c>
      <x:c r="I40" s="20" t="str">
        <x:v>Sample candidate; full list promised for next IRG meeting</x:v>
      </x:c>
      <x:c r="J40" s="20" t="str">
        <x:v>https://www.unicode.org/irg/docs/n2921-ChinaWSPreliminary.pdf</x:v>
      </x:c>
    </x:row>
    <x:row r="41">
      <x:c r="A41" s="20" t="n">
        <x:v>40</x:v>
      </x:c>
      <x:c r="B41" s="20" t="str">
        <x:v>GEJ–00040</x:v>
      </x:c>
      <x:c r="C41" s="20" t="str"/>
      <x:c r="D41" s="20" t="str">
        <x:v>⿰虫入</x:v>
      </x:c>
      <x:c r="E41" s="20" t="str">
        <x:v>142.0</x:v>
      </x:c>
      <x:c r="F41" s="20" t="str">
        <x:v>2</x:v>
      </x:c>
      <x:c r="G41" s="20" t="str">
        <x:v>EJ1977-PUB</x:v>
      </x:c>
      <x:c r="H41" s="20" t="str">
        <x:v>2.2.059</x:v>
      </x:c>
      <x:c r="I41" s="20" t="str">
        <x:v>Sample candidate; full list promised for next IRG meeting</x:v>
      </x:c>
      <x:c r="J41" s="20" t="str">
        <x:v>https://www.unicode.org/irg/docs/n2921-ChinaWSPreliminary.pdf</x:v>
      </x:c>
    </x:row>
    <x:row r="42">
      <x:c r="A42" s="20" t="n">
        <x:v>41</x:v>
      </x:c>
      <x:c r="B42" s="20" t="str">
        <x:v>GEJ–00041</x:v>
      </x:c>
      <x:c r="C42" s="20" t="str"/>
      <x:c r="D42" s="20" t="str">
        <x:v>⿱入寸</x:v>
      </x:c>
      <x:c r="E42" s="20" t="str">
        <x:v>11.0</x:v>
      </x:c>
      <x:c r="F42" s="20" t="str">
        <x:v>3</x:v>
      </x:c>
      <x:c r="G42" s="20" t="str">
        <x:v>EJ1977-PUB</x:v>
      </x:c>
      <x:c r="H42" s="20" t="str">
        <x:v>2.2.060</x:v>
      </x:c>
      <x:c r="I42" s="20" t="str">
        <x:v>Sample candidate; full list promised for next IRG meeting</x:v>
      </x:c>
      <x:c r="J42" s="20" t="str">
        <x:v>https://www.unicode.org/irg/docs/n2921-ChinaWSPreliminary.pdf</x:v>
      </x:c>
    </x:row>
    <x:row r="43">
      <x:c r="A43" s="20" t="n">
        <x:v>42</x:v>
      </x:c>
      <x:c r="B43" s="20" t="str">
        <x:v>GEJ–00042</x:v>
      </x:c>
      <x:c r="C43" s="20" t="str"/>
      <x:c r="D43" s="20" t="str">
        <x:v>⿰示入</x:v>
      </x:c>
      <x:c r="E43" s="20" t="str">
        <x:v>113’.0</x:v>
      </x:c>
      <x:c r="F43" s="20" t="str">
        <x:v>2</x:v>
      </x:c>
      <x:c r="G43" s="20" t="str">
        <x:v>EJ1977-PUB</x:v>
      </x:c>
      <x:c r="H43" s="20" t="str"/>
      <x:c r="I43" s="20" t="str">
        <x:v>Sample candidate; full list promised for next IRG meeting</x:v>
      </x:c>
      <x:c r="J43" s="20" t="str">
        <x:v>https://www.unicode.org/irg/docs/n2921-ChinaWSPreliminary.pdf</x:v>
      </x:c>
    </x:row>
    <x:row r="44">
      <x:c r="A44" s="20" t="n">
        <x:v>43</x:v>
      </x:c>
      <x:c r="B44" s="20" t="str">
        <x:v>GEJ–00043</x:v>
      </x:c>
      <x:c r="C44" s="20" t="str"/>
      <x:c r="D44" s="20" t="str">
        <x:v>⿱㇯雨丷双</x:v>
      </x:c>
      <x:c r="E44" s="20" t="str">
        <x:v>173’.0</x:v>
      </x:c>
      <x:c r="F44" s="20" t="str">
        <x:v>4</x:v>
      </x:c>
      <x:c r="G44" s="20" t="str">
        <x:v>EJ1977-PUB</x:v>
      </x:c>
      <x:c r="H44" s="20" t="str"/>
      <x:c r="I44" s="20" t="str">
        <x:v>Sample candidate; full list promised for next IRG meeting</x:v>
      </x:c>
      <x:c r="J44" s="20" t="str">
        <x:v>https://www.unicode.org/irg/docs/n2921-ChinaWSPreliminary.pdf</x:v>
      </x:c>
    </x:row>
    <x:row r="45">
      <x:c r="A45" s="20" t="n">
        <x:v>44</x:v>
      </x:c>
      <x:c r="B45" s="20" t="str">
        <x:v>GEJ–00044</x:v>
      </x:c>
      <x:c r="C45" s="20" t="str"/>
      <x:c r="D45" s="20" t="str">
        <x:v>⿰长罒</x:v>
      </x:c>
      <x:c r="E45" s="20" t="str">
        <x:v>168’.0</x:v>
      </x:c>
      <x:c r="F45" s="20" t="str">
        <x:v>5</x:v>
      </x:c>
      <x:c r="G45" s="20" t="str">
        <x:v>EJ1977-PUB</x:v>
      </x:c>
      <x:c r="H45" s="20" t="str"/>
      <x:c r="I45" s="20" t="str">
        <x:v>Sample candidate; full list promised for next IRG meeting</x:v>
      </x:c>
      <x:c r="J45" s="20" t="str">
        <x:v>https://www.unicode.org/irg/docs/n2921-ChinaWSPreliminary.pdf</x:v>
      </x:c>
    </x:row>
    <x:row r="46">
      <x:c r="A46" s="20" t="n">
        <x:v>45</x:v>
      </x:c>
      <x:c r="B46" s="20" t="str">
        <x:v>GEJ–00045</x:v>
      </x:c>
      <x:c r="C46" s="20" t="str"/>
      <x:c r="D46" s="20" t="str">
        <x:v>⿰丁</x:v>
      </x:c>
      <x:c r="E46" s="20" t="str">
        <x:v>137.0</x:v>
      </x:c>
      <x:c r="F46" s="20" t="str">
        <x:v>2</x:v>
      </x:c>
      <x:c r="G46" s="20" t="str">
        <x:v>EJ1977-PUB</x:v>
      </x:c>
      <x:c r="H46" s="20" t="str"/>
      <x:c r="I46" s="20" t="str">
        <x:v>Sample candidate; full list promised for next IRG meeting</x:v>
      </x:c>
      <x:c r="J46" s="20" t="str">
        <x:v>https://www.unicode.org/irg/docs/n2921-ChinaWSPreliminary.pdf</x:v>
      </x:c>
    </x:row>
    <x:row r="47">
      <x:c r="A47" s="20" t="n">
        <x:v>46</x:v>
      </x:c>
      <x:c r="B47" s="20" t="str">
        <x:v>GEJ–00046</x:v>
      </x:c>
      <x:c r="C47" s="20" t="str"/>
      <x:c r="D47" s="20" t="str">
        <x:v>⿸尸屯</x:v>
      </x:c>
      <x:c r="E47" s="20" t="str">
        <x:v>44.0</x:v>
      </x:c>
      <x:c r="F47" s="20" t="str">
        <x:v>4</x:v>
      </x:c>
      <x:c r="G47" s="20" t="str">
        <x:v>EJ1977-PUB</x:v>
      </x:c>
      <x:c r="H47" s="20" t="str">
        <x:v>2.2.071</x:v>
      </x:c>
      <x:c r="I47" s="20" t="str">
        <x:v>Sample candidate; full list promised for next IRG meeting</x:v>
      </x:c>
      <x:c r="J47" s="20" t="str">
        <x:v>https://www.unicode.org/irg/docs/n2921-ChinaWSPreliminary.pdf</x:v>
      </x:c>
    </x:row>
  </x:sheetData>
  <x:pageMargins left="0.7" right="0.7" top="0.75" bottom="0.75" header="0.3" footer="0.3"/>
  <x:tableParts count="1">
    <x:tablePart xmlns:r="http://schemas.openxmlformats.org/officeDocument/2006/relationships" r:id="R63b474b82d984d85"/>
  </x:tableParts>
</x:worksheet>
</file>

<file path=xl/worksheets/sheet5.xml><?xml version="1.0" encoding="utf-8"?>
<x:worksheet xmlns:x="http://schemas.openxmlformats.org/spreadsheetml/2006/main">
  <x:sheetFormatPr defaultRowHeight="15"/>
  <x:cols>
    <x:col min="1" max="1" width="34" hidden="0" customWidth="1"/>
    <x:col min="2" max="2" width="26" hidden="0" customWidth="1"/>
    <x:col min="3" max="3" width="34" hidden="0" customWidth="1"/>
    <x:col min="4" max="4" width="24" hidden="0" customWidth="1"/>
    <x:col min="5" max="5" width="52" hidden="0" customWidth="1"/>
    <x:col min="6" max="6" width="54" hidden="0" customWidth="1"/>
  </x:cols>
  <x:sheetData>
    <x:row r="1">
      <x:c r="A1" s="25" t="str">
        <x:v>Block</x:v>
      </x:c>
      <x:c r="B1" s="25" t="str">
        <x:v>Formal block range</x:v>
      </x:c>
      <x:c r="C1" s="25" t="str">
        <x:v>Current assigned end / note</x:v>
      </x:c>
      <x:c r="D1" s="25" t="str">
        <x:v>Status on 2026-08-30</x:v>
      </x:c>
      <x:c r="E1" s="25" t="str">
        <x:v>Why it matters here</x:v>
      </x:c>
      <x:c r="F1" s="25" t="str">
        <x:v>Source URL</x:v>
      </x:c>
    </x:row>
    <x:row r="2">
      <x:c r="A2" s="20" t="str">
        <x:v>CJK Unified Ideographs</x:v>
      </x:c>
      <x:c r="B2" s="20" t="str">
        <x:v>U+4E00–U+9FFF</x:v>
      </x:c>
      <x:c r="C2" s="20" t="str">
        <x:v>U+9FFF</x:v>
      </x:c>
      <x:c r="D2" s="20" t="str">
        <x:v>Released</x:v>
      </x:c>
      <x:c r="E2" s="20" t="str">
        <x:v>Base repertoire; some 二简 reuse already-encoded characters.</x:v>
      </x:c>
      <x:c r="F2" s="20" t="str">
        <x:v>https://unicode.org/versions/Unicode17.0.0/core-spec/chapter-18/</x:v>
      </x:c>
    </x:row>
    <x:row r="3">
      <x:c r="A3" s="20" t="str">
        <x:v>Extension A</x:v>
      </x:c>
      <x:c r="B3" s="20" t="str">
        <x:v>U+3400–U+4DBF</x:v>
      </x:c>
      <x:c r="C3" s="20" t="str">
        <x:v>U+4DBF</x:v>
      </x:c>
      <x:c r="D3" s="20" t="str">
        <x:v>Released</x:v>
      </x:c>
      <x:c r="E3" s="20" t="str">
        <x:v>Existing rare forms can serve as 二简 glyph identities.</x:v>
      </x:c>
      <x:c r="F3" s="20" t="str">
        <x:v>https://unicode.org/versions/Unicode17.0.0/core-spec/chapter-18/</x:v>
      </x:c>
    </x:row>
    <x:row r="4">
      <x:c r="A4" s="20" t="str">
        <x:v>Extension B</x:v>
      </x:c>
      <x:c r="B4" s="20" t="str">
        <x:v>U+20000–U+2A6DF</x:v>
      </x:c>
      <x:c r="C4" s="20" t="str">
        <x:v>U+2A6DF</x:v>
      </x:c>
      <x:c r="D4" s="20" t="str">
        <x:v>Released</x:v>
      </x:c>
      <x:c r="E4" s="20" t="str">
        <x:v>Contains some historical/rare matches.</x:v>
      </x:c>
      <x:c r="F4" s="20" t="str">
        <x:v>https://unicode.org/versions/Unicode17.0.0/core-spec/chapter-18/</x:v>
      </x:c>
    </x:row>
    <x:row r="5">
      <x:c r="A5" s="20" t="str">
        <x:v>Extension C</x:v>
      </x:c>
      <x:c r="B5" s="20" t="str">
        <x:v>U+2A700–U+2B73F</x:v>
      </x:c>
      <x:c r="C5" s="20" t="str">
        <x:v>at least U+2B73A assigned by Unicode 17; BabelStone records 𫜹 U+2B739</x:v>
      </x:c>
      <x:c r="D5" s="20" t="str">
        <x:v>Released</x:v>
      </x:c>
      <x:c r="E5" s="20" t="str">
        <x:v>Important post-2022 correction: 𫜹 for 雪 is now encoded here.</x:v>
      </x:c>
      <x:c r="F5" s="20" t="str">
        <x:v>https://www.babelstone.co.uk/Fonts/Erjian.html</x:v>
      </x:c>
    </x:row>
    <x:row r="6">
      <x:c r="A6" s="20" t="str">
        <x:v>Extension D</x:v>
      </x:c>
      <x:c r="B6" s="20" t="str">
        <x:v>U+2B740–U+2B81F</x:v>
      </x:c>
      <x:c r="C6" s="20" t="str">
        <x:v>assigned through at least U+2B81D in Unicode 17</x:v>
      </x:c>
      <x:c r="D6" s="20" t="str">
        <x:v>Released</x:v>
      </x:c>
      <x:c r="E6" s="20" t="str">
        <x:v>Keep block boundary separate from highest assigned scalar.</x:v>
      </x:c>
      <x:c r="F6" s="20" t="str">
        <x:v>https://unicode.org/versions/Unicode17.0.0/core-spec/chapter-18/</x:v>
      </x:c>
    </x:row>
    <x:row r="7">
      <x:c r="A7" s="20" t="str">
        <x:v>Extension E</x:v>
      </x:c>
      <x:c r="B7" s="20" t="str">
        <x:v>U+2B820–U+2CEAF</x:v>
      </x:c>
      <x:c r="C7" s="20" t="str">
        <x:v>assigned through U+2CEAD</x:v>
      </x:c>
      <x:c r="D7" s="20" t="str">
        <x:v>Released</x:v>
      </x:c>
      <x:c r="E7" s="20" t="str">
        <x:v>Several 二简 forms already occur here.</x:v>
      </x:c>
      <x:c r="F7" s="20" t="str">
        <x:v>https://unicode.org/versions/Unicode17.0.0/core-spec/chapter-18/</x:v>
      </x:c>
    </x:row>
    <x:row r="8">
      <x:c r="A8" s="20" t="str">
        <x:v>Extension F</x:v>
      </x:c>
      <x:c r="B8" s="20" t="str">
        <x:v>U+2CEB0–U+2EBEF</x:v>
      </x:c>
      <x:c r="C8" s="20" t="str">
        <x:v>assigned through U+2EBE0</x:v>
      </x:c>
      <x:c r="D8" s="20" t="str">
        <x:v>Released</x:v>
      </x:c>
      <x:c r="E8" s="20" t="str">
        <x:v>Several 二简 forms already occur here.</x:v>
      </x:c>
      <x:c r="F8" s="20" t="str">
        <x:v>https://unicode.org/versions/Unicode17.0.0/core-spec/chapter-18/</x:v>
      </x:c>
    </x:row>
    <x:row r="9">
      <x:c r="A9" s="20" t="str">
        <x:v>Extension I</x:v>
      </x:c>
      <x:c r="B9" s="20" t="str">
        <x:v>U+2EBF0–U+2EE5F</x:v>
      </x:c>
      <x:c r="C9" s="20" t="str">
        <x:v>assigned through U+2EE5D</x:v>
      </x:c>
      <x:c r="D9" s="20" t="str">
        <x:v>Released</x:v>
      </x:c>
      <x:c r="E9" s="20" t="str">
        <x:v>Newest Plane 2 extension before Unicode 17; review for unexpected matches.</x:v>
      </x:c>
      <x:c r="F9" s="20" t="str">
        <x:v>https://unicode.org/versions/Unicode17.0.0/core-spec/chapter-18/</x:v>
      </x:c>
    </x:row>
    <x:row r="10">
      <x:c r="A10" s="20" t="str">
        <x:v>CJK Compatibility Ideographs Supplement</x:v>
      </x:c>
      <x:c r="B10" s="20" t="str">
        <x:v>U+2F800–U+2FA1F</x:v>
      </x:c>
      <x:c r="C10" s="20" t="str">
        <x:v>Unihan grid currently through U+2FA1D</x:v>
      </x:c>
      <x:c r="D10" s="20" t="str">
        <x:v>Released</x:v>
      </x:c>
      <x:c r="E10" s="20" t="str">
        <x:v>Compatibility forms require care; do not treat them as ordinary new unifications.</x:v>
      </x:c>
      <x:c r="F10" s="20" t="str">
        <x:v>https://www.unicode.org/charts/unihangridindex.html</x:v>
      </x:c>
    </x:row>
    <x:row r="11">
      <x:c r="A11" s="20" t="str">
        <x:v>Extension G</x:v>
      </x:c>
      <x:c r="B11" s="20" t="str">
        <x:v>U+30000–U+3134F</x:v>
      </x:c>
      <x:c r="C11" s="20" t="str">
        <x:v>U+3134A</x:v>
      </x:c>
      <x:c r="D11" s="20" t="str">
        <x:v>Released (Unicode 13.0)</x:v>
      </x:c>
      <x:c r="E11" s="20" t="str">
        <x:v>Major 二简 home. Many code points highlighted as Extension G in the 2022 chart are normal Unicode characters now.</x:v>
      </x:c>
      <x:c r="F11" s="20" t="str">
        <x:v>https://www.unicode.org/standard/versions/Unicode13.0.0/</x:v>
      </x:c>
    </x:row>
    <x:row r="12">
      <x:c r="A12" s="20" t="str">
        <x:v>Extension H</x:v>
      </x:c>
      <x:c r="B12" s="20" t="str">
        <x:v>U+31350–U+323AF</x:v>
      </x:c>
      <x:c r="C12" s="20" t="str">
        <x:v>U+323AF</x:v>
      </x:c>
      <x:c r="D12" s="20" t="str">
        <x:v>Released</x:v>
      </x:c>
      <x:c r="E12" s="20" t="str">
        <x:v>Review globally for unexpected matches even though the current BabelStone mapping table did not surface an H example in our pass.</x:v>
      </x:c>
      <x:c r="F12" s="20" t="str">
        <x:v>https://unicode.org/versions/Unicode17.0.0/core-spec/chapter-18/</x:v>
      </x:c>
    </x:row>
    <x:row r="13">
      <x:c r="A13" s="20" t="str">
        <x:v>Extension J</x:v>
      </x:c>
      <x:c r="B13" s="20" t="str">
        <x:v>U+323B0–U+3347F</x:v>
      </x:c>
      <x:c r="C13" s="20" t="str">
        <x:v>U+33479 in current Unihan grid</x:v>
      </x:c>
      <x:c r="D13" s="20" t="str">
        <x:v>Released (Unicode 17.0)</x:v>
      </x:c>
      <x:c r="E13" s="20" t="str">
        <x:v>Current extension as of this workbook; N2921 still reports ~200 EJ forms unencoded.</x:v>
      </x:c>
      <x:c r="F13" s="20" t="str">
        <x:v>https://www.unicode.org/irg/docs/n2707-ExtensionJ.pdf</x:v>
      </x:c>
    </x:row>
    <x:row r="14">
      <x:c r="A14" s="20" t="str">
        <x:v>Seal Script</x:v>
      </x:c>
      <x:c r="B14" s="20" t="str">
        <x:v>U+3D000–U+3FC3F</x:v>
      </x:c>
      <x:c r="C14" s="20" t="str">
        <x:v>draft range</x:v>
      </x:c>
      <x:c r="D14" s="20" t="str">
        <x:v>Unicode 18 draft; not current</x:v>
      </x:c>
      <x:c r="E14" s="20" t="str">
        <x:v>Useful wider corpus context, but do not mark as released Unicode 17 data.</x:v>
      </x:c>
      <x:c r="F14" s="20" t="str">
        <x:v>https://www.unicode.org/versions/Unicode18.0.0/</x:v>
      </x:c>
    </x:row>
  </x:sheetData>
  <x:pageMargins left="0.7" right="0.7" top="0.75" bottom="0.75" header="0.3" footer="0.3"/>
  <x:tableParts count="1">
    <x:tablePart xmlns:r="http://schemas.openxmlformats.org/officeDocument/2006/relationships" r:id="R39fc389579e64bd9"/>
  </x:tableParts>
</x:worksheet>
</file>

<file path=xl/worksheets/sheet6.xml><?xml version="1.0" encoding="utf-8"?>
<x:worksheet xmlns:x="http://schemas.openxmlformats.org/spreadsheetml/2006/main">
  <x:sheetFormatPr defaultRowHeight="15"/>
  <x:cols>
    <x:col min="1" max="1" width="32" hidden="0" customWidth="1"/>
    <x:col min="2" max="2" width="24" hidden="0" customWidth="1"/>
    <x:col min="3" max="3" width="18" hidden="0" customWidth="1"/>
    <x:col min="4" max="4" width="22" hidden="0" customWidth="1"/>
    <x:col min="5" max="5" width="22" hidden="0" customWidth="1"/>
    <x:col min="6" max="6" width="48" hidden="0" customWidth="1"/>
    <x:col min="7" max="7" width="58" hidden="0" customWidth="1"/>
  </x:cols>
  <x:sheetData>
    <x:row r="1">
      <x:c r="A1" s="25" t="str">
        <x:v>Item</x:v>
      </x:c>
      <x:c r="B1" s="25" t="str">
        <x:v>Current form / code</x:v>
      </x:c>
      <x:c r="C1" s="25" t="str">
        <x:v>Standard form</x:v>
      </x:c>
      <x:c r="D1" s="25" t="str">
        <x:v>Current block</x:v>
      </x:c>
      <x:c r="E1" s="25" t="str">
        <x:v>Unicode since / status</x:v>
      </x:c>
      <x:c r="F1" s="25" t="str">
        <x:v>Evidence</x:v>
      </x:c>
      <x:c r="G1" s="25" t="str">
        <x:v>Action for corpus</x:v>
      </x:c>
    </x:row>
    <x:row r="2">
      <x:c r="A2" s="20" t="str">
        <x:v>Post-2022 encoding visible in BabelStone</x:v>
      </x:c>
      <x:c r="B2" s="20" t="str">
        <x:v>𫜹  U+2B739</x:v>
      </x:c>
      <x:c r="C2" s="20" t="str">
        <x:v>雪</x:v>
      </x:c>
      <x:c r="D2" s="20" t="str">
        <x:v>Extension C</x:v>
      </x:c>
      <x:c r="E2" s="20" t="str">
        <x:v>Unicode 15.0</x:v>
      </x:c>
      <x:c r="F2" s="20" t="str">
        <x:v>BabelStone current Unicode Mappings table, ref. 1.1:143</x:v>
      </x:c>
      <x:c r="G2" s="20" t="str">
        <x:v>Use the real scalar when representing this 二简 glyph; do not preserve the older font-only workaround.</x:v>
      </x:c>
    </x:row>
    <x:row r="3">
      <x:c r="A3" s="20" t="str">
        <x:v>Extension G status</x:v>
      </x:c>
      <x:c r="B3" s="20" t="str">
        <x:v>U+30000–U+3134A assigned</x:v>
      </x:c>
      <x:c r="C3" s="20" t="str">
        <x:v>Multiple</x:v>
      </x:c>
      <x:c r="D3" s="20" t="str">
        <x:v>Extension G</x:v>
      </x:c>
      <x:c r="E3" s="20" t="str">
        <x:v>Unicode 13.0 released</x:v>
      </x:c>
      <x:c r="F3" s="20" t="str">
        <x:v>Unicode 13 release notes + current Unicode 17 block table</x:v>
      </x:c>
      <x:c r="G3" s="20" t="str">
        <x:v>Treat extracted rows carrying Extension G code points as encoded.</x:v>
      </x:c>
    </x:row>
    <x:row r="4">
      <x:c r="A4" s="20" t="str">
        <x:v>Remaining unencoded repertoire</x:v>
      </x:c>
      <x:c r="B4" s="20" t="str">
        <x:v>~200 distinct EJ ideographs</x:v>
      </x:c>
      <x:c r="C4" s="20" t="str">
        <x:v>Multiple</x:v>
      </x:c>
      <x:c r="D4" s="20" t="str">
        <x:v>Unencoded / proposed</x:v>
      </x:c>
      <x:c r="E4" s="20" t="str">
        <x:v>IRG N2921, 2026-03-12</x:v>
      </x:c>
      <x:c r="F4" s="20" t="str">
        <x:v>Witty Wen 文辰䶮 &amp; Tao Yang 陶扬, IRG N2921</x:v>
      </x:c>
      <x:c r="G4" s="20" t="str">
        <x:v>Preserve IDS and witness identity; do not invent PUA canonicals. Await full GEJ list and reconciliation.</x:v>
      </x:c>
    </x:row>
    <x:row r="5">
      <x:c r="A5" s="20" t="str">
        <x:v>Future horizontal extension</x:v>
      </x:c>
      <x:c r="B5" s="20" t="str">
        <x:v>All encoded EJ characters</x:v>
      </x:c>
      <x:c r="C5" s="20" t="str">
        <x:v>Multiple</x:v>
      </x:c>
      <x:c r="D5" s="20" t="str">
        <x:v>Unihan source data</x:v>
      </x:c>
      <x:c r="E5" s="20" t="str">
        <x:v>Planned</x:v>
      </x:c>
      <x:c r="F5" s="20" t="str">
        <x:v>IRG N2921</x:v>
      </x:c>
      <x:c r="G5" s="20" t="str">
        <x:v>Expect additional G-source evidence without necessarily changing code points; keep source/witness metadata separate from scalar identity.</x:v>
      </x:c>
    </x:row>
  </x:sheetData>
  <x:pageMargins left="0.7" right="0.7" top="0.75" bottom="0.75" header="0.3" footer="0.3"/>
  <x:tableParts count="1">
    <x:tablePart xmlns:r="http://schemas.openxmlformats.org/officeDocument/2006/relationships" r:id="R05aea32d69a34084"/>
  </x:tableParts>
</x:worksheet>
</file>

<file path=xl/worksheets/sheet7.xml><?xml version="1.0" encoding="utf-8"?>
<x:worksheet xmlns:x="http://schemas.openxmlformats.org/spreadsheetml/2006/main">
  <x:sheetFormatPr defaultRowHeight="15"/>
  <x:cols>
    <x:col min="1" max="1" width="34" hidden="0" customWidth="1"/>
    <x:col min="2" max="2" width="16" hidden="0" customWidth="1"/>
    <x:col min="3" max="3" width="54" hidden="0" customWidth="1"/>
    <x:col min="4" max="4" width="60" hidden="0" customWidth="1"/>
    <x:col min="5" max="5" width="62" hidden="0" customWidth="1"/>
  </x:cols>
  <x:sheetData>
    <x:row r="1">
      <x:c r="A1" s="25" t="str">
        <x:v>Contributor / corporate author</x:v>
      </x:c>
      <x:c r="B1" s="25" t="str">
        <x:v>Date</x:v>
      </x:c>
      <x:c r="C1" s="25" t="str">
        <x:v>Work</x:v>
      </x:c>
      <x:c r="D1" s="25" t="str">
        <x:v>Role in this workbook</x:v>
      </x:c>
      <x:c r="E1" s="25" t="str">
        <x:v>URL / local source</x:v>
      </x:c>
    </x:row>
    <x:row r="2">
      <x:c r="A2" s="20" t="str">
        <x:v>Zapryagaev, Alexander</x:v>
      </x:c>
      <x:c r="B2" s="20" t="str">
        <x:v>2022-02-19</x:v>
      </x:c>
      <x:c r="C2" s="20" t="str">
        <x:v>The Chart of Current Status for Second Stage Simplification in Unicode, Version 3.0</x:v>
      </x:c>
      <x:c r="D2" s="20" t="str">
        <x:v>Primary row-wise technical extraction; uploaded by user</x:v>
      </x:c>
      <x:c r="E2" s="20" t="str">
        <x:v>Uploaded file: n2924-SecondStageSimplificationStatusv3.pdf</x:v>
      </x:c>
    </x:row>
    <x:row r="3">
      <x:c r="A3" s="20" t="str">
        <x:v>West, Andrew</x:v>
      </x:c>
      <x:c r="B3" s="20" t="str">
        <x:v>n.d.</x:v>
      </x:c>
      <x:c r="C3" s="20" t="str">
        <x:v>BabelStone Erjian</x:v>
      </x:c>
      <x:c r="D3" s="20" t="str">
        <x:v>Current structured presentation; Unicode mappings; historical source scans; font behaviour</x:v>
      </x:c>
      <x:c r="E3" s="20" t="str">
        <x:v>https://www.babelstone.co.uk/Fonts/Erjian.html</x:v>
      </x:c>
    </x:row>
    <x:row r="4">
      <x:c r="A4" s="20" t="str">
        <x:v>Wen, Witty 文辰䶮 &amp; Yang, Tao 陶扬</x:v>
      </x:c>
      <x:c r="B4" s="20" t="str">
        <x:v>2026-03-12</x:v>
      </x:c>
      <x:c r="C4" s="20" t="str">
        <x:v>IRG N2921: Preliminary Proposal from G-Source for WS202X</x:v>
      </x:c>
      <x:c r="D4" s="20" t="str">
        <x:v>Current evidence for ~200 still-unencoded EJ ideographs; 1975/1977/1981 witness distinctions</x:v>
      </x:c>
      <x:c r="E4" s="20" t="str">
        <x:v>https://www.unicode.org/irg/docs/n2921-ChinaWSPreliminary.pdf</x:v>
      </x:c>
    </x:row>
    <x:row r="5">
      <x:c r="A5" s="20" t="str">
        <x:v>The Unicode Consortium</x:v>
      </x:c>
      <x:c r="B5" s="20" t="str">
        <x:v>2025</x:v>
      </x:c>
      <x:c r="C5" s="20" t="str">
        <x:v>The Unicode Standard, Version 17.0.0, Chapter 18</x:v>
      </x:c>
      <x:c r="D5" s="20" t="str">
        <x:v>Current formal Han ideograph block ranges</x:v>
      </x:c>
      <x:c r="E5" s="20" t="str">
        <x:v>https://unicode.org/versions/Unicode17.0.0/core-spec/chapter-18/</x:v>
      </x:c>
    </x:row>
    <x:row r="6">
      <x:c r="A6" s="20" t="str">
        <x:v>The Unicode Consortium</x:v>
      </x:c>
      <x:c r="B6" s="20" t="str">
        <x:v>2026 draft</x:v>
      </x:c>
      <x:c r="C6" s="20" t="str">
        <x:v>Unicode 18.0.0</x:v>
      </x:c>
      <x:c r="D6" s="20" t="str">
        <x:v>Draft-only context for Seal Script and future range changes</x:v>
      </x:c>
      <x:c r="E6" s="20" t="str">
        <x:v>https://www.unicode.org/versions/Unicode18.0.0/</x:v>
      </x:c>
    </x:row>
    <x:row r="7">
      <x:c r="A7" s="20" t="str">
        <x:v>IRG / The Unicode Consortium</x:v>
      </x:c>
      <x:c r="B7" s="20" t="str">
        <x:v>2024–2025</x:v>
      </x:c>
      <x:c r="C7" s="20" t="str">
        <x:v>CJK Unified Ideographs Extension J (IRG N2707)</x:v>
      </x:c>
      <x:c r="D7" s="20" t="str">
        <x:v>Extension J repertoire/reference supplied by user</x:v>
      </x:c>
      <x:c r="E7" s="20" t="str">
        <x:v>https://www.unicode.org/irg/docs/n2707-ExtensionJ.pdf</x:v>
      </x:c>
    </x:row>
    <x:row r="8">
      <x:c r="A8" s="20" t="str">
        <x:v>Honoka55</x:v>
      </x:c>
      <x:c r="B8" s="20" t="str">
        <x:v>2023</x:v>
      </x:c>
      <x:c r="C8" s="20" t="str">
        <x:v>erjian-convert</x:v>
      </x:c>
      <x:c r="D8" s="20" t="str">
        <x:v>Machine-readable secondary converter useful for contextual regression tests; MIT-licensed</x:v>
      </x:c>
      <x:c r="E8" s="20" t="str">
        <x:v>https://github.com/Honoka55/erjian-convert</x:v>
      </x:c>
    </x:row>
  </x:sheetData>
  <x:pageMargins left="0.7" right="0.7" top="0.75" bottom="0.75" header="0.3" footer="0.3"/>
  <x:tableParts count="1">
    <x:tablePart xmlns:r="http://schemas.openxmlformats.org/officeDocument/2006/relationships" r:id="R5233a1904c584dd9"/>
  </x:tableParts>
</x:worksheet>
</file>